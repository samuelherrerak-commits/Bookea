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arámetros" sheetId="2" state="visible" r:id="rId4"/>
    <sheet name="Binomial" sheetId="3" state="visible" r:id="rId5"/>
    <sheet name="Normal" sheetId="4" state="visible" r:id="rId6"/>
    <sheet name="Tabla Z" sheetId="5" state="visible" r:id="rId7"/>
    <sheet name="Sensibilida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<sst xmlns="http://schemas.openxmlformats.org/spreadsheetml/2006/main" count="182" uniqueCount="164">
  <si>
    <t xml:space="preserve">Tarea 3: Análisis de probabilidad y dispersión</t>
  </si>
  <si>
    <t xml:space="preserve">Planta manufacturera de artículos electrónicos (Los Andes, Mérida). Respuestas al director ejecutivo; todos los valores vienen de las hojas de cálculo.</t>
  </si>
  <si>
    <t xml:space="preserve">N.º</t>
  </si>
  <si>
    <t xml:space="preserve">Pregunta del director ejecutivo</t>
  </si>
  <si>
    <t xml:space="preserve">Resultado</t>
  </si>
  <si>
    <t xml:space="preserve">Detalle</t>
  </si>
  <si>
    <t xml:space="preserve">¿Cuántas unidades defectuosas se espera en un lote de 200 unidades?</t>
  </si>
  <si>
    <t xml:space="preserve">μ = n × p = 200 × 0,03; desviación estándar σ = 2,41 unidades.</t>
  </si>
  <si>
    <t xml:space="preserve">¿Cuál es la probabilidad de tener exactamente 5 unidades defectuosas?</t>
  </si>
  <si>
    <t xml:space="preserve">P(X = 5) con la fórmula binomial; equivale a 16,22 % de los lotes.</t>
  </si>
  <si>
    <t xml:space="preserve">¿Cuál es la probabilidad de tener 6 o más unidades defectuosas?</t>
  </si>
  <si>
    <t xml:space="preserve">P(X ≥ 6) = 1 − P(X ≤ 5); más de la mitad de los lotes.</t>
  </si>
  <si>
    <t xml:space="preserve">¿Qué tiempo de procesamiento separa el 10 % más rápido del resto? (min)</t>
  </si>
  <si>
    <t xml:space="preserve">Percentil 10 = μ + z·σ = 45 − 1,2816 × 8.</t>
  </si>
  <si>
    <t xml:space="preserve">¿Cuál es la probabilidad de que una unidad tarde entre 37 y 53 minutos?</t>
  </si>
  <si>
    <t xml:space="preserve">P(−1 &lt; Z &lt; 1): regla empírica de 68 %.</t>
  </si>
  <si>
    <t xml:space="preserve">¿Cuáles son las recomendaciones para mejorar la calidad y eficiencia?</t>
  </si>
  <si>
    <t xml:space="preserve">Ver documento Word</t>
  </si>
  <si>
    <t xml:space="preserve">Sección «Recomendaciones y conclusiones» del informe.</t>
  </si>
  <si>
    <t xml:space="preserve">Otros resultados clave</t>
  </si>
  <si>
    <t xml:space="preserve">Medida</t>
  </si>
  <si>
    <t xml:space="preserve">Fuente</t>
  </si>
  <si>
    <t xml:space="preserve">Varianza σ² del número de defectos</t>
  </si>
  <si>
    <t xml:space="preserve">Hoja Binomial</t>
  </si>
  <si>
    <t xml:space="preserve">P(X ≤ 3): a lo sumo 3 defectos</t>
  </si>
  <si>
    <t xml:space="preserve">z de 37 min</t>
  </si>
  <si>
    <t xml:space="preserve">Hoja Normal</t>
  </si>
  <si>
    <t xml:space="preserve">z de 53 min</t>
  </si>
  <si>
    <t xml:space="preserve">z del percentil 10</t>
  </si>
  <si>
    <t xml:space="preserve">P(tiempo &lt; 37 min)</t>
  </si>
  <si>
    <t xml:space="preserve">P(tiempo &gt; 53 min)</t>
  </si>
  <si>
    <t xml:space="preserve">Tiempo del percentil 90 (min)</t>
  </si>
  <si>
    <t xml:space="preserve">Hojas del libro: Parámetros (datos de la consigna) · Binomial · Normal · Tabla Z · Sensibilidad. Letra azul sobre amarillo = dato editable; negro = fórmula.</t>
  </si>
  <si>
    <t xml:space="preserve">Parámetros del problema</t>
  </si>
  <si>
    <t xml:space="preserve">Los datos de entrada (letra azul con fondo amarillo) vienen de la consigna de la Tarea 3; todas las demás hojas se recalculan si se cambian.</t>
  </si>
  <si>
    <t xml:space="preserve">Parámetro</t>
  </si>
  <si>
    <t xml:space="preserve">Valor</t>
  </si>
  <si>
    <t xml:space="preserve">Descripción y fuente</t>
  </si>
  <si>
    <t xml:space="preserve">n (unidades por lote)</t>
  </si>
  <si>
    <t xml:space="preserve">Consigna: en un lote típico se producen 200 unidades por día.</t>
  </si>
  <si>
    <t xml:space="preserve">p (probabilidad de defecto)</t>
  </si>
  <si>
    <t xml:space="preserve">Consigna: tasa promedio histórica de defectos de 3 % por unidad.</t>
  </si>
  <si>
    <t xml:space="preserve">q = 1 − p</t>
  </si>
  <si>
    <t xml:space="preserve">Probabilidad de que una unidad salga sin defecto.</t>
  </si>
  <si>
    <t xml:space="preserve">μ del tiempo de procesamiento (min)</t>
  </si>
  <si>
    <t xml:space="preserve">Consigna: media de 45 minutos.</t>
  </si>
  <si>
    <t xml:space="preserve">σ del tiempo de procesamiento (min)</t>
  </si>
  <si>
    <t xml:space="preserve">Consigna: desviación estándar de 8 minutos.</t>
  </si>
  <si>
    <t xml:space="preserve">k para P(X = k)</t>
  </si>
  <si>
    <t xml:space="preserve">Consigna, Parte A.4: exactamente 5 defectos.</t>
  </si>
  <si>
    <t xml:space="preserve">k para P(X ≥ k)</t>
  </si>
  <si>
    <t xml:space="preserve">Consigna, Parte A.5: 6 o más defectos.</t>
  </si>
  <si>
    <t xml:space="preserve">k para P(X ≤ k)</t>
  </si>
  <si>
    <t xml:space="preserve">Consigna, Parte A.6: como máximo 3 defectos.</t>
  </si>
  <si>
    <t xml:space="preserve">x₁ (min)</t>
  </si>
  <si>
    <t xml:space="preserve">Consigna, Parte B: límite inferior del intervalo de tiempo.</t>
  </si>
  <si>
    <t xml:space="preserve">x₂ (min)</t>
  </si>
  <si>
    <t xml:space="preserve">Consigna, Parte B: límite superior del intervalo de tiempo.</t>
  </si>
  <si>
    <t xml:space="preserve">Percentil bajo (10 % más rápido)</t>
  </si>
  <si>
    <t xml:space="preserve">Consigna, pregunta 4: el 10 % más rápido.</t>
  </si>
  <si>
    <t xml:space="preserve">Percentil alto</t>
  </si>
  <si>
    <t xml:space="preserve">Consigna, Parte B.7: percentil 90.</t>
  </si>
  <si>
    <t xml:space="preserve">Convención de colores: azul sobre amarillo = dato de entrada; negro = fórmula. Las probabilidades se muestran con 4 decimales.</t>
  </si>
  <si>
    <t xml:space="preserve">Distribución binomial: defectos en un lote de 200 unidades</t>
  </si>
  <si>
    <t xml:space="preserve">P(X = k) = C(n, k) · p^k · (1 − p)^(n − k). Parámetros en la hoja «Parámetros».</t>
  </si>
  <si>
    <t xml:space="preserve">Fórmula</t>
  </si>
  <si>
    <t xml:space="preserve">Interpretación</t>
  </si>
  <si>
    <t xml:space="preserve">μ: valor esperado de defectos</t>
  </si>
  <si>
    <t xml:space="preserve">μ = n × p</t>
  </si>
  <si>
    <t xml:space="preserve">Defectos que se esperan, en promedio, por lote de 200 unidades.</t>
  </si>
  <si>
    <t xml:space="preserve">σ²: varianza</t>
  </si>
  <si>
    <t xml:space="preserve">σ² = n × p × (1 − p)</t>
  </si>
  <si>
    <t xml:space="preserve">Dispersión de los defectos alrededor de la media, en unidades al cuadrado.</t>
  </si>
  <si>
    <t xml:space="preserve">σ: desviación estándar</t>
  </si>
  <si>
    <t xml:space="preserve">σ = √(n × p × (1 − p))</t>
  </si>
  <si>
    <t xml:space="preserve">Variación típica del número de defectos por lote.</t>
  </si>
  <si>
    <t xml:space="preserve">C(n, k) = n! / (k!·(n − k)!)</t>
  </si>
  <si>
    <t xml:space="preserve">Formas de escoger cuáles unidades son las defectuosas.</t>
  </si>
  <si>
    <t xml:space="preserve">p^k</t>
  </si>
  <si>
    <t xml:space="preserve">Probabilidad de que las k unidades escogidas sean defectuosas.</t>
  </si>
  <si>
    <t xml:space="preserve">(1 − p)^(n − k)</t>
  </si>
  <si>
    <t xml:space="preserve">Probabilidad de que las demás unidades salgan buenas.</t>
  </si>
  <si>
    <t xml:space="preserve">C(n, k) · p^k · (1 − p)^(n − k)</t>
  </si>
  <si>
    <t xml:space="preserve">Probabilidad de exactamente 5 defectos en el lote.</t>
  </si>
  <si>
    <t xml:space="preserve">BINOMDIST(k; n; p; FALSO)</t>
  </si>
  <si>
    <t xml:space="preserve">Debe coincidir con el cálculo manual de la fila anterior.</t>
  </si>
  <si>
    <t xml:space="preserve">Suma de P(X = k) desde 0 hasta 5</t>
  </si>
  <si>
    <t xml:space="preserve">Probabilidad acumulada de tener hasta 5 defectos.</t>
  </si>
  <si>
    <t xml:space="preserve">1 − P(X ≤ 5)</t>
  </si>
  <si>
    <t xml:space="preserve">Probabilidad de tener 6 o más defectos en el lote.</t>
  </si>
  <si>
    <t xml:space="preserve">BINOMDIST(3; n; p; VERDADERO)</t>
  </si>
  <si>
    <t xml:space="preserve">Probabilidad de un lote con a lo sumo 3 defectos.</t>
  </si>
  <si>
    <t xml:space="preserve">Rango usual de defectos: μ − 2σ</t>
  </si>
  <si>
    <t xml:space="preserve">μ − 2σ</t>
  </si>
  <si>
    <t xml:space="preserve">Límite inferior del intervalo que cubre cerca del 95 % de los lotes.</t>
  </si>
  <si>
    <t xml:space="preserve">Rango usual de defectos: μ + 2σ</t>
  </si>
  <si>
    <t xml:space="preserve">μ + 2σ</t>
  </si>
  <si>
    <t xml:space="preserve">Límite superior del intervalo que cubre cerca del 95 % de los lotes.</t>
  </si>
  <si>
    <t xml:space="preserve">P(X ≥ 10): lote crítico</t>
  </si>
  <si>
    <t xml:space="preserve">1 − P(X ≤ 9)</t>
  </si>
  <si>
    <t xml:space="preserve">Riesgo de un lote con 10 o más defectos (umbral de alerta propuesto).</t>
  </si>
  <si>
    <t xml:space="preserve">Tabla de probabilidades para k = 0 a 12 defectos</t>
  </si>
  <si>
    <t xml:space="preserve">k</t>
  </si>
  <si>
    <t xml:space="preserve">C(n, k)</t>
  </si>
  <si>
    <t xml:space="preserve">P(X = k) manual</t>
  </si>
  <si>
    <t xml:space="preserve">P(X = k) BINOMDIST</t>
  </si>
  <si>
    <t xml:space="preserve">P(X ≤ k)</t>
  </si>
  <si>
    <t xml:space="preserve">P(X ≥ k)</t>
  </si>
  <si>
    <t xml:space="preserve">Serie: P(X ≤ 3)</t>
  </si>
  <si>
    <t xml:space="preserve">Serie: k = 4</t>
  </si>
  <si>
    <t xml:space="preserve">Serie: k = 5</t>
  </si>
  <si>
    <t xml:space="preserve">Serie: k = μ</t>
  </si>
  <si>
    <t xml:space="preserve">Serie: k ≥ 6, k ≠ μ</t>
  </si>
  <si>
    <t xml:space="preserve">Σ k = 0..12</t>
  </si>
  <si>
    <t xml:space="preserve">Nota: las columnas «Serie» solo separan las barras por color para el gráfico (valor cero = sin barra). Σ queda en 0,9922 porque faltan las colas k ≥ 13.</t>
  </si>
  <si>
    <t xml:space="preserve">Distribución normal: tiempos de procesamiento</t>
  </si>
  <si>
    <t xml:space="preserve">z = (x − μ)/σ. Se muestra el valor exacto (Excel) y el valor que resulta de leer la tabla Z con z redondeado a dos decimales.</t>
  </si>
  <si>
    <t xml:space="preserve">μ (min)</t>
  </si>
  <si>
    <t xml:space="preserve">σ (min)</t>
  </si>
  <si>
    <t xml:space="preserve">Cálculo</t>
  </si>
  <si>
    <t xml:space="preserve">Resultado exacto (Excel)</t>
  </si>
  <si>
    <t xml:space="preserve">Φ(|z|) leído en tabla Z</t>
  </si>
  <si>
    <t xml:space="preserve">Resultado con tabla Z</t>
  </si>
  <si>
    <t xml:space="preserve">z = (x − μ)/σ</t>
  </si>
  <si>
    <t xml:space="preserve">37 min está 1 desviación estándar por debajo de la media.</t>
  </si>
  <si>
    <t xml:space="preserve">53 min está 1 desviación estándar por encima de la media.</t>
  </si>
  <si>
    <t xml:space="preserve">z tal que Φ(z) = 0,10</t>
  </si>
  <si>
    <t xml:space="preserve">El 10 % más rápido queda 1,28 desviaciones por debajo de la media.</t>
  </si>
  <si>
    <t xml:space="preserve">Φ(z₁)</t>
  </si>
  <si>
    <t xml:space="preserve">Probabilidad de que una unidad tarde menos de 37 min.</t>
  </si>
  <si>
    <t xml:space="preserve">1 − Φ(z₂)</t>
  </si>
  <si>
    <t xml:space="preserve">Probabilidad de que una unidad tarde más de 53 min.</t>
  </si>
  <si>
    <t xml:space="preserve">Φ(z₂) − Φ(z₁)</t>
  </si>
  <si>
    <t xml:space="preserve">Probabilidad de que una unidad tarde entre 37 y 53 min.</t>
  </si>
  <si>
    <t xml:space="preserve">x = μ + z·σ</t>
  </si>
  <si>
    <t xml:space="preserve">Tiempo que separa el 10 % más rápido del resto.</t>
  </si>
  <si>
    <t xml:space="preserve">z tal que Φ(z) = 0,90</t>
  </si>
  <si>
    <t xml:space="preserve">Simétrico al percentil 10: 1,28 desviaciones por encima de la media.</t>
  </si>
  <si>
    <t xml:space="preserve">El 90 % de las unidades se procesa en este tiempo o menos.</t>
  </si>
  <si>
    <t xml:space="preserve">Regla empírica: intervalos de desviación estándar</t>
  </si>
  <si>
    <t xml:space="preserve">Intervalo μ ± kσ</t>
  </si>
  <si>
    <t xml:space="preserve">Límite inferior (min)</t>
  </si>
  <si>
    <t xml:space="preserve">Límite superior (min)</t>
  </si>
  <si>
    <t xml:space="preserve">P(μ − kσ &lt; X &lt; μ + kσ)</t>
  </si>
  <si>
    <t xml:space="preserve">Datos para el gráfico: densidad f(x) = NORMDIST(x; μ; σ; FALSO)</t>
  </si>
  <si>
    <t xml:space="preserve">x (min)</t>
  </si>
  <si>
    <t xml:space="preserve">z</t>
  </si>
  <si>
    <t xml:space="preserve">f(x)</t>
  </si>
  <si>
    <t xml:space="preserve">Área x ≤ 37</t>
  </si>
  <si>
    <t xml:space="preserve">Área 37 ≤ x ≤ 53</t>
  </si>
  <si>
    <t xml:space="preserve">Área x ≥ 53</t>
  </si>
  <si>
    <t xml:space="preserve">Nota: las líneas verticales del gráfico marcan la media y los límites μ ± 1σ, 2σ y 3σ (21, 29, 37, 45, 53, 61 y 69 min).</t>
  </si>
  <si>
    <t xml:space="preserve">Tabla de la distribución normal estándar: Φ(z) = P(Z ≤ z), para z ≥ 0</t>
  </si>
  <si>
    <t xml:space="preserve">Cada celda es =REDONDEAR(DISTR.NORM.ESTAND(z); 4), con z = encabezado de fila + encabezado de columna. Para z negativo: Φ(−z) = 1 − Φ(z).</t>
  </si>
  <si>
    <t xml:space="preserve">Sensibilidad: efecto de la tasa de defectos en el riesgo del lote</t>
  </si>
  <si>
    <t xml:space="preserve">Mismo lote (n = 200) con distintas tasas de defecto p; el escenario actual es p = 3 %. Las tasas de la columna A son supuestos de análisis, no datos de la empresa.</t>
  </si>
  <si>
    <t xml:space="preserve">Tasa de defecto p</t>
  </si>
  <si>
    <t xml:space="preserve">μ = n·p</t>
  </si>
  <si>
    <t xml:space="preserve">σ</t>
  </si>
  <si>
    <t xml:space="preserve">P(X ≤ 3)</t>
  </si>
  <si>
    <t xml:space="preserve">P(X ≥ 6)</t>
  </si>
  <si>
    <t xml:space="preserve">P(X ≥ 10)</t>
  </si>
  <si>
    <t xml:space="preserve">Defectos esperados frente a p = 3 %</t>
  </si>
  <si>
    <t xml:space="preserve">Lectura: bajar la tasa de defecto de 3 % a 2 % reduce un tercio los defectos esperados y la probabilidad de 6 o más defectos baja de más de la mitad a cerca de un quinto de los lotes.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</si>
</sst>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000"/>
    <numFmt numFmtId="167" formatCode="0"/>
    <numFmt numFmtId="168" formatCode="0%"/>
    <numFmt numFmtId="169" formatCode="#,##0"/>
    <numFmt numFmtId="170" formatCode="0.000E+00"/>
    <numFmt numFmtId="171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B5B5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F0F0E"/>
        <bgColor rgb="FF000000"/>
      </patternFill>
    </fill>
    <fill>
      <patternFill patternType="solid">
        <fgColor rgb="FFF4F4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A5C"/>
      <rgbColor rgb="FFBFBFBF"/>
      <rgbColor rgb="FF878787"/>
      <rgbColor rgb="FF9999FF"/>
      <rgbColor rgb="FF993366"/>
      <rgbColor rgb="FFF4F4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B5B57"/>
      <rgbColor rgb="FFA3A39E"/>
      <rgbColor rgb="FF003366"/>
      <rgbColor rgb="FF1BAF7A"/>
      <rgbColor rgb="FF0F0F0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binomial de defectos por lote (n = 200, p = 0,03)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"P(X ≤ 3)"</c:f>
              <c:strCache>
                <c:ptCount val="1"/>
                <c:pt idx="0">
                  <c:v>P(X ≤ 3)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Binomial!$A$22:$A$34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Binomial!$I$22:$I$34</c:f>
              <c:numCache>
                <c:formatCode>0.0000</c:formatCode>
                <c:ptCount val="13"/>
                <c:pt idx="0">
                  <c:v>0.00226124100999577</c:v>
                </c:pt>
                <c:pt idx="1">
                  <c:v>0.0139870577937882</c:v>
                </c:pt>
                <c:pt idx="2">
                  <c:v>0.0430426469221215</c:v>
                </c:pt>
                <c:pt idx="3">
                  <c:v>0.0878602483564955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strRef>
              <c:f>"k = 4"</c:f>
              <c:strCache>
                <c:ptCount val="1"/>
                <c:pt idx="0">
                  <c:v>k = 4</c:v>
                </c:pt>
              </c:strCache>
            </c:strRef>
          </c:tx>
          <c:spPr>
            <a:solidFill>
              <a:srgbClr val="a3a39e"/>
            </a:solidFill>
            <a:ln w="0">
              <a:solidFill>
                <a:srgbClr val="a3a39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Binomial!$A$22:$A$34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Binomial!$J$22:$J$34</c:f>
              <c:numCache>
                <c:formatCode>0.0000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0.133828367986311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strRef>
              <c:f>"k = 5: P(X = 5)"</c:f>
              <c:strCache>
                <c:ptCount val="1"/>
                <c:pt idx="0">
                  <c:v>k = 5: P(X = 5)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Binomial!$A$22:$A$34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Binomial!$K$22:$K$34</c:f>
              <c:numCache>
                <c:formatCode>0.0000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0.162249650259693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"k = 6 = μ (valor esperado)"</c:f>
              <c:strCache>
                <c:ptCount val="1"/>
                <c:pt idx="0">
                  <c:v>k = 6 = μ (valor esperado)</c:v>
                </c:pt>
              </c:strCache>
            </c:strRef>
          </c:tx>
          <c:spPr>
            <a:solidFill>
              <a:srgbClr val="0f7a5c"/>
            </a:solidFill>
            <a:ln w="0">
              <a:solidFill>
                <a:srgbClr val="0f7a5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Binomial!$A$22:$A$34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Binomial!$L$22:$L$34</c:f>
              <c:numCache>
                <c:formatCode>0.0000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0.163085988663094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4"/>
          <c:order val="4"/>
          <c:tx>
            <c:strRef>
              <c:f>"k ≥ 7 (con k = 6: P(X ≥ 6))"</c:f>
              <c:strCache>
                <c:ptCount val="1"/>
                <c:pt idx="0">
                  <c:v>k ≥ 7 (con k = 6: P(X ≥ 6))</c:v>
                </c:pt>
              </c:strCache>
            </c:strRef>
          </c:tx>
          <c:spPr>
            <a:solidFill>
              <a:srgbClr val="1baf7a"/>
            </a:solidFill>
            <a:ln w="0">
              <a:solidFill>
                <a:srgbClr val="1baf7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Binomial!$A$22:$A$34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Binomial!$M$22:$M$34</c:f>
              <c:numCache>
                <c:formatCode>0.0000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0.139787990282652</c:v>
                </c:pt>
                <c:pt idx="8">
                  <c:v>0.104300575223783</c:v>
                </c:pt>
                <c:pt idx="9">
                  <c:v>0.0688168743744545</c:v>
                </c:pt>
                <c:pt idx="10">
                  <c:v>0.0406516175428478</c:v>
                </c:pt>
                <c:pt idx="11">
                  <c:v>0.0217164217426647</c:v>
                </c:pt>
                <c:pt idx="12">
                  <c:v>0.0105783600756795</c:v>
                </c:pt>
              </c:numCache>
            </c:numRef>
          </c:val>
        </c:ser>
        <c:gapWidth val="30"/>
        <c:overlap val="100"/>
        <c:axId val="15250667"/>
        <c:axId val="32682910"/>
      </c:barChart>
      <c:catAx>
        <c:axId val="152506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Número de unidades defectuosas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82910"/>
        <c:crosses val="autoZero"/>
        <c:auto val="1"/>
        <c:lblAlgn val="ctr"/>
        <c:lblOffset val="100"/>
        <c:noMultiLvlLbl val="0"/>
      </c:catAx>
      <c:valAx>
        <c:axId val="32682910"/>
        <c:scaling>
          <c:orientation val="minMax"/>
          <c:max val="0.18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Probabilidad P(X = 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506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normal de los tiempos de procesamiento (μ = 45 min, σ = 8 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"x ≤ 37: P = 0,1587"</c:f>
              <c:strCache>
                <c:ptCount val="1"/>
                <c:pt idx="0">
                  <c:v>x ≤ 37: P = 0,1587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Normal!$A$28:$A$76</c:f>
              <c:strCache>
                <c:ptCount val="49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  <c:pt idx="20">
                  <c:v>41</c:v>
                </c:pt>
                <c:pt idx="21">
                  <c:v>42</c:v>
                </c:pt>
                <c:pt idx="22">
                  <c:v>43</c:v>
                </c:pt>
                <c:pt idx="23">
                  <c:v>44</c:v>
                </c:pt>
                <c:pt idx="24">
                  <c:v>45</c:v>
                </c:pt>
                <c:pt idx="25">
                  <c:v>46</c:v>
                </c:pt>
                <c:pt idx="26">
                  <c:v>47</c:v>
                </c:pt>
                <c:pt idx="27">
                  <c:v>48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57</c:v>
                </c:pt>
                <c:pt idx="37">
                  <c:v>58</c:v>
                </c:pt>
                <c:pt idx="38">
                  <c:v>59</c:v>
                </c:pt>
                <c:pt idx="39">
                  <c:v>60</c:v>
                </c:pt>
                <c:pt idx="40">
                  <c:v>61</c:v>
                </c:pt>
                <c:pt idx="41">
                  <c:v>62</c:v>
                </c:pt>
                <c:pt idx="42">
                  <c:v>63</c:v>
                </c:pt>
                <c:pt idx="43">
                  <c:v>64</c:v>
                </c:pt>
                <c:pt idx="44">
                  <c:v>65</c:v>
                </c:pt>
                <c:pt idx="45">
                  <c:v>66</c:v>
                </c:pt>
                <c:pt idx="46">
                  <c:v>67</c:v>
                </c:pt>
                <c:pt idx="47">
                  <c:v>68</c:v>
                </c:pt>
                <c:pt idx="48">
                  <c:v>69</c:v>
                </c:pt>
              </c:strCache>
            </c:strRef>
          </c:cat>
          <c:val>
            <c:numRef>
              <c:f>Normal!$D$28:$D$76</c:f>
              <c:numCache>
                <c:formatCode>0.0000</c:formatCode>
                <c:ptCount val="49"/>
                <c:pt idx="0">
                  <c:v>0.000553981051492251</c:v>
                </c:pt>
                <c:pt idx="1">
                  <c:v>0.000799765038840445</c:v>
                </c:pt>
                <c:pt idx="2">
                  <c:v>0.00113669531269888</c:v>
                </c:pt>
                <c:pt idx="3">
                  <c:v>0.00159052269960393</c:v>
                </c:pt>
                <c:pt idx="4">
                  <c:v>0.00219103756169607</c:v>
                </c:pt>
                <c:pt idx="5">
                  <c:v>0.00297148760373923</c:v>
                </c:pt>
                <c:pt idx="6">
                  <c:v>0.00396745647945843</c:v>
                </c:pt>
                <c:pt idx="7">
                  <c:v>0.00521512315704233</c:v>
                </c:pt>
                <c:pt idx="8">
                  <c:v>0.00674887081414851</c:v>
                </c:pt>
                <c:pt idx="9">
                  <c:v>0.00859828447833649</c:v>
                </c:pt>
                <c:pt idx="10">
                  <c:v>0.0107846648533139</c:v>
                </c:pt>
                <c:pt idx="11">
                  <c:v>0.0133172835163231</c:v>
                </c:pt>
                <c:pt idx="12">
                  <c:v>0.0161896994582365</c:v>
                </c:pt>
                <c:pt idx="13">
                  <c:v>0.0193765331822867</c:v>
                </c:pt>
                <c:pt idx="14">
                  <c:v>0.0228311356736277</c:v>
                </c:pt>
                <c:pt idx="15">
                  <c:v>0.0264845807219624</c:v>
                </c:pt>
                <c:pt idx="16">
                  <c:v>0.0302463405648929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1"/>
          <c:order val="1"/>
          <c:tx>
            <c:strRef>
              <c:f>"37 ≤ x ≤ 53: P = 0,6827"</c:f>
              <c:strCache>
                <c:ptCount val="1"/>
                <c:pt idx="0">
                  <c:v>37 ≤ x ≤ 53: P = 0,6827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Normal!$A$28:$A$76</c:f>
              <c:strCache>
                <c:ptCount val="49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  <c:pt idx="20">
                  <c:v>41</c:v>
                </c:pt>
                <c:pt idx="21">
                  <c:v>42</c:v>
                </c:pt>
                <c:pt idx="22">
                  <c:v>43</c:v>
                </c:pt>
                <c:pt idx="23">
                  <c:v>44</c:v>
                </c:pt>
                <c:pt idx="24">
                  <c:v>45</c:v>
                </c:pt>
                <c:pt idx="25">
                  <c:v>46</c:v>
                </c:pt>
                <c:pt idx="26">
                  <c:v>47</c:v>
                </c:pt>
                <c:pt idx="27">
                  <c:v>48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57</c:v>
                </c:pt>
                <c:pt idx="37">
                  <c:v>58</c:v>
                </c:pt>
                <c:pt idx="38">
                  <c:v>59</c:v>
                </c:pt>
                <c:pt idx="39">
                  <c:v>60</c:v>
                </c:pt>
                <c:pt idx="40">
                  <c:v>61</c:v>
                </c:pt>
                <c:pt idx="41">
                  <c:v>62</c:v>
                </c:pt>
                <c:pt idx="42">
                  <c:v>63</c:v>
                </c:pt>
                <c:pt idx="43">
                  <c:v>64</c:v>
                </c:pt>
                <c:pt idx="44">
                  <c:v>65</c:v>
                </c:pt>
                <c:pt idx="45">
                  <c:v>66</c:v>
                </c:pt>
                <c:pt idx="46">
                  <c:v>67</c:v>
                </c:pt>
                <c:pt idx="47">
                  <c:v>68</c:v>
                </c:pt>
                <c:pt idx="48">
                  <c:v>69</c:v>
                </c:pt>
              </c:strCache>
            </c:strRef>
          </c:cat>
          <c:val>
            <c:numRef>
              <c:f>Normal!$E$28:$E$76</c:f>
              <c:numCache>
                <c:formatCode>0.0000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0.0302463405648929</c:v>
                </c:pt>
                <c:pt idx="17">
                  <c:v>0.0340068747973179</c:v>
                </c:pt>
                <c:pt idx="18">
                  <c:v>0.0376421790193506</c:v>
                </c:pt>
                <c:pt idx="19">
                  <c:v>0.0410201210687969</c:v>
                </c:pt>
                <c:pt idx="20">
                  <c:v>0.0440081658455374</c:v>
                </c:pt>
                <c:pt idx="21">
                  <c:v>0.0464818867337211</c:v>
                </c:pt>
                <c:pt idx="22">
                  <c:v>0.0483335146003562</c:v>
                </c:pt>
                <c:pt idx="23">
                  <c:v>0.0494797108680937</c:v>
                </c:pt>
                <c:pt idx="24">
                  <c:v>0.0498677850501791</c:v>
                </c:pt>
                <c:pt idx="25">
                  <c:v>0.0494797108680937</c:v>
                </c:pt>
                <c:pt idx="26">
                  <c:v>0.0483335146003562</c:v>
                </c:pt>
                <c:pt idx="27">
                  <c:v>0.0464818867337211</c:v>
                </c:pt>
                <c:pt idx="28">
                  <c:v>0.0440081658455374</c:v>
                </c:pt>
                <c:pt idx="29">
                  <c:v>0.0410201210687969</c:v>
                </c:pt>
                <c:pt idx="30">
                  <c:v>0.0376421790193506</c:v>
                </c:pt>
                <c:pt idx="31">
                  <c:v>0.0340068747973179</c:v>
                </c:pt>
                <c:pt idx="32">
                  <c:v>0.0302463405648929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2"/>
          <c:order val="2"/>
          <c:tx>
            <c:strRef>
              <c:f>"x ≥ 53: P = 0,1587"</c:f>
              <c:strCache>
                <c:ptCount val="1"/>
                <c:pt idx="0">
                  <c:v>x ≥ 53: P = 0,1587</c:v>
                </c:pt>
              </c:strCache>
            </c:strRef>
          </c:tx>
          <c:spPr>
            <a:solidFill>
              <a:srgbClr val="1baf7a"/>
            </a:solidFill>
            <a:ln w="0">
              <a:solidFill>
                <a:srgbClr val="1baf7a"/>
              </a:solidFill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Normal!$A$28:$A$76</c:f>
              <c:strCache>
                <c:ptCount val="49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  <c:pt idx="20">
                  <c:v>41</c:v>
                </c:pt>
                <c:pt idx="21">
                  <c:v>42</c:v>
                </c:pt>
                <c:pt idx="22">
                  <c:v>43</c:v>
                </c:pt>
                <c:pt idx="23">
                  <c:v>44</c:v>
                </c:pt>
                <c:pt idx="24">
                  <c:v>45</c:v>
                </c:pt>
                <c:pt idx="25">
                  <c:v>46</c:v>
                </c:pt>
                <c:pt idx="26">
                  <c:v>47</c:v>
                </c:pt>
                <c:pt idx="27">
                  <c:v>48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57</c:v>
                </c:pt>
                <c:pt idx="37">
                  <c:v>58</c:v>
                </c:pt>
                <c:pt idx="38">
                  <c:v>59</c:v>
                </c:pt>
                <c:pt idx="39">
                  <c:v>60</c:v>
                </c:pt>
                <c:pt idx="40">
                  <c:v>61</c:v>
                </c:pt>
                <c:pt idx="41">
                  <c:v>62</c:v>
                </c:pt>
                <c:pt idx="42">
                  <c:v>63</c:v>
                </c:pt>
                <c:pt idx="43">
                  <c:v>64</c:v>
                </c:pt>
                <c:pt idx="44">
                  <c:v>65</c:v>
                </c:pt>
                <c:pt idx="45">
                  <c:v>66</c:v>
                </c:pt>
                <c:pt idx="46">
                  <c:v>67</c:v>
                </c:pt>
                <c:pt idx="47">
                  <c:v>68</c:v>
                </c:pt>
                <c:pt idx="48">
                  <c:v>69</c:v>
                </c:pt>
              </c:strCache>
            </c:strRef>
          </c:cat>
          <c:val>
            <c:numRef>
              <c:f>Normal!$F$28:$F$76</c:f>
              <c:numCache>
                <c:formatCode>0.0000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0.0302463405648929</c:v>
                </c:pt>
                <c:pt idx="33">
                  <c:v>0.0264845807219624</c:v>
                </c:pt>
                <c:pt idx="34">
                  <c:v>0.0228311356736277</c:v>
                </c:pt>
                <c:pt idx="35">
                  <c:v>0.0193765331822867</c:v>
                </c:pt>
                <c:pt idx="36">
                  <c:v>0.0161896994582365</c:v>
                </c:pt>
                <c:pt idx="37">
                  <c:v>0.0133172835163231</c:v>
                </c:pt>
                <c:pt idx="38">
                  <c:v>0.0107846648533139</c:v>
                </c:pt>
                <c:pt idx="39">
                  <c:v>0.00859828447833649</c:v>
                </c:pt>
                <c:pt idx="40">
                  <c:v>0.00674887081414851</c:v>
                </c:pt>
                <c:pt idx="41">
                  <c:v>0.00521512315704233</c:v>
                </c:pt>
                <c:pt idx="42">
                  <c:v>0.00396745647945843</c:v>
                </c:pt>
                <c:pt idx="43">
                  <c:v>0.00297148760373923</c:v>
                </c:pt>
                <c:pt idx="44">
                  <c:v>0.00219103756169607</c:v>
                </c:pt>
                <c:pt idx="45">
                  <c:v>0.00159052269960393</c:v>
                </c:pt>
                <c:pt idx="46">
                  <c:v>0.00113669531269888</c:v>
                </c:pt>
                <c:pt idx="47">
                  <c:v>0.000799765038840445</c:v>
                </c:pt>
                <c:pt idx="48">
                  <c:v>0.000553981051492251</c:v>
                </c:pt>
              </c:numCache>
            </c:numRef>
          </c:val>
        </c:ser>
        <c:axId val="29528301"/>
        <c:axId val="41427381"/>
      </c:areaChart>
      <c:catAx>
        <c:axId val="2952830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de procesamiento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27381"/>
        <c:crosses val="autoZero"/>
        <c:auto val="1"/>
        <c:lblAlgn val="ctr"/>
        <c:lblOffset val="100"/>
        <c:noMultiLvlLbl val="0"/>
      </c:catAx>
      <c:valAx>
        <c:axId val="414273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Densidad f(x)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2830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36</xdr:row>
      <xdr:rowOff>160560</xdr:rowOff>
    </xdr:from>
    <xdr:to>
      <xdr:col>4</xdr:col>
      <xdr:colOff>166320</xdr:colOff>
      <xdr:row>55</xdr:row>
      <xdr:rowOff>140760</xdr:rowOff>
    </xdr:to>
    <xdr:graphicFrame>
      <xdr:nvGraphicFramePr>
        <xdr:cNvPr id="0" name="Chart 1"/>
        <xdr:cNvGraphicFramePr/>
      </xdr:nvGraphicFramePr>
      <xdr:xfrm>
        <a:off x="0" y="931536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160560</xdr:rowOff>
    </xdr:from>
    <xdr:to>
      <xdr:col>20</xdr:col>
      <xdr:colOff>581760</xdr:colOff>
      <xdr:row>21</xdr:row>
      <xdr:rowOff>87480</xdr:rowOff>
    </xdr:to>
    <xdr:graphicFrame>
      <xdr:nvGraphicFramePr>
        <xdr:cNvPr id="1" name="Chart 1"/>
        <xdr:cNvGraphicFramePr/>
      </xdr:nvGraphicFramePr>
      <xdr:xfrm>
        <a:off x="14849640" y="95256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4" min="4" style="0" width="6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1.5" hidden="false" customHeight="true" outlineLevel="0" collapsed="false">
      <c r="A5" s="4" t="n">
        <v>1</v>
      </c>
      <c r="B5" s="5" t="s">
        <v>6</v>
      </c>
      <c r="C5" s="6" t="n">
        <f aca="false">Binomial!C5</f>
        <v>6</v>
      </c>
      <c r="D5" s="5" t="s">
        <v>7</v>
      </c>
    </row>
    <row r="6" customFormat="false" ht="31.5" hidden="false" customHeight="true" outlineLevel="0" collapsed="false">
      <c r="A6" s="4" t="n">
        <v>2</v>
      </c>
      <c r="B6" s="5" t="s">
        <v>8</v>
      </c>
      <c r="C6" s="7" t="n">
        <f aca="false">Binomial!C11</f>
        <v>0.162249650259693</v>
      </c>
      <c r="D6" s="5" t="s">
        <v>9</v>
      </c>
    </row>
    <row r="7" customFormat="false" ht="31.5" hidden="false" customHeight="true" outlineLevel="0" collapsed="false">
      <c r="A7" s="4" t="n">
        <v>3</v>
      </c>
      <c r="B7" s="5" t="s">
        <v>10</v>
      </c>
      <c r="C7" s="7" t="n">
        <f aca="false">Binomial!C14</f>
        <v>0.556770787671594</v>
      </c>
      <c r="D7" s="5" t="s">
        <v>11</v>
      </c>
    </row>
    <row r="8" customFormat="false" ht="31.5" hidden="false" customHeight="true" outlineLevel="0" collapsed="false">
      <c r="A8" s="4" t="n">
        <v>4</v>
      </c>
      <c r="B8" s="5" t="s">
        <v>12</v>
      </c>
      <c r="C8" s="6" t="n">
        <f aca="false">Normal!D13</f>
        <v>34.7475874756432</v>
      </c>
      <c r="D8" s="5" t="s">
        <v>13</v>
      </c>
    </row>
    <row r="9" customFormat="false" ht="31.5" hidden="false" customHeight="true" outlineLevel="0" collapsed="false">
      <c r="A9" s="4" t="n">
        <v>5</v>
      </c>
      <c r="B9" s="5" t="s">
        <v>14</v>
      </c>
      <c r="C9" s="7" t="n">
        <f aca="false">Normal!D12</f>
        <v>0.682689492137086</v>
      </c>
      <c r="D9" s="5" t="s">
        <v>15</v>
      </c>
    </row>
    <row r="10" customFormat="false" ht="31.5" hidden="false" customHeight="true" outlineLevel="0" collapsed="false">
      <c r="A10" s="4" t="n">
        <v>6</v>
      </c>
      <c r="B10" s="5" t="s">
        <v>16</v>
      </c>
      <c r="C10" s="8" t="s">
        <v>17</v>
      </c>
      <c r="D10" s="5" t="s">
        <v>18</v>
      </c>
    </row>
    <row r="12" customFormat="false" ht="15" hidden="false" customHeight="false" outlineLevel="0" collapsed="false">
      <c r="A12" s="9" t="s">
        <v>19</v>
      </c>
    </row>
    <row r="13" customFormat="false" ht="15" hidden="false" customHeight="false" outlineLevel="0" collapsed="false">
      <c r="A13" s="3"/>
      <c r="B13" s="3" t="s">
        <v>20</v>
      </c>
      <c r="C13" s="3" t="s">
        <v>4</v>
      </c>
      <c r="D13" s="3" t="s">
        <v>21</v>
      </c>
    </row>
    <row r="14" customFormat="false" ht="15" hidden="false" customHeight="false" outlineLevel="0" collapsed="false">
      <c r="A14" s="10"/>
      <c r="B14" s="10" t="s">
        <v>22</v>
      </c>
      <c r="C14" s="11" t="n">
        <f aca="false">Binomial!C6</f>
        <v>5.82</v>
      </c>
      <c r="D14" s="10" t="s">
        <v>23</v>
      </c>
    </row>
    <row r="15" customFormat="false" ht="15" hidden="false" customHeight="false" outlineLevel="0" collapsed="false">
      <c r="A15" s="10"/>
      <c r="B15" s="10" t="s">
        <v>24</v>
      </c>
      <c r="C15" s="11" t="n">
        <f aca="false">Binomial!C15</f>
        <v>0.147151194082401</v>
      </c>
      <c r="D15" s="10" t="s">
        <v>23</v>
      </c>
    </row>
    <row r="16" customFormat="false" ht="15" hidden="false" customHeight="false" outlineLevel="0" collapsed="false">
      <c r="A16" s="10"/>
      <c r="B16" s="10" t="s">
        <v>25</v>
      </c>
      <c r="C16" s="12" t="n">
        <f aca="false">Normal!D7</f>
        <v>-1</v>
      </c>
      <c r="D16" s="10" t="s">
        <v>26</v>
      </c>
    </row>
    <row r="17" customFormat="false" ht="15" hidden="false" customHeight="false" outlineLevel="0" collapsed="false">
      <c r="A17" s="10"/>
      <c r="B17" s="10" t="s">
        <v>27</v>
      </c>
      <c r="C17" s="12" t="n">
        <f aca="false">Normal!D8</f>
        <v>1</v>
      </c>
      <c r="D17" s="10" t="s">
        <v>26</v>
      </c>
    </row>
    <row r="18" customFormat="false" ht="15" hidden="false" customHeight="false" outlineLevel="0" collapsed="false">
      <c r="A18" s="10"/>
      <c r="B18" s="10" t="s">
        <v>28</v>
      </c>
      <c r="C18" s="11" t="n">
        <f aca="false">Normal!D9</f>
        <v>-1.2815515655446</v>
      </c>
      <c r="D18" s="10" t="s">
        <v>26</v>
      </c>
    </row>
    <row r="19" customFormat="false" ht="15" hidden="false" customHeight="false" outlineLevel="0" collapsed="false">
      <c r="A19" s="10"/>
      <c r="B19" s="10" t="s">
        <v>29</v>
      </c>
      <c r="C19" s="11" t="n">
        <f aca="false">Normal!D10</f>
        <v>0.158655253931457</v>
      </c>
      <c r="D19" s="10" t="s">
        <v>26</v>
      </c>
    </row>
    <row r="20" customFormat="false" ht="15" hidden="false" customHeight="false" outlineLevel="0" collapsed="false">
      <c r="A20" s="10"/>
      <c r="B20" s="10" t="s">
        <v>30</v>
      </c>
      <c r="C20" s="11" t="n">
        <f aca="false">Normal!D11</f>
        <v>0.158655253931457</v>
      </c>
      <c r="D20" s="10" t="s">
        <v>26</v>
      </c>
    </row>
    <row r="21" customFormat="false" ht="15" hidden="false" customHeight="false" outlineLevel="0" collapsed="false">
      <c r="A21" s="10"/>
      <c r="B21" s="10" t="s">
        <v>31</v>
      </c>
      <c r="C21" s="12" t="n">
        <f aca="false">Normal!D15</f>
        <v>55.2524125243568</v>
      </c>
      <c r="D21" s="10" t="s">
        <v>26</v>
      </c>
    </row>
    <row r="23" customFormat="false" ht="15" hidden="false" customHeight="false" outlineLevel="0" collapsed="false">
      <c r="A23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3" t="s">
        <v>35</v>
      </c>
      <c r="B4" s="3" t="s">
        <v>36</v>
      </c>
      <c r="C4" s="3" t="s">
        <v>37</v>
      </c>
    </row>
    <row r="5" customFormat="false" ht="15" hidden="false" customHeight="false" outlineLevel="0" collapsed="false">
      <c r="A5" s="13" t="s">
        <v>38</v>
      </c>
      <c r="B5" s="14" t="n">
        <v>200</v>
      </c>
      <c r="C5" s="5" t="s">
        <v>39</v>
      </c>
    </row>
    <row r="6" customFormat="false" ht="15" hidden="false" customHeight="false" outlineLevel="0" collapsed="false">
      <c r="A6" s="13" t="s">
        <v>40</v>
      </c>
      <c r="B6" s="15" t="n">
        <v>0.03</v>
      </c>
      <c r="C6" s="5" t="s">
        <v>41</v>
      </c>
    </row>
    <row r="7" customFormat="false" ht="15" hidden="false" customHeight="false" outlineLevel="0" collapsed="false">
      <c r="A7" s="13" t="s">
        <v>42</v>
      </c>
      <c r="B7" s="16" t="n">
        <f aca="false">1-B6</f>
        <v>0.97</v>
      </c>
      <c r="C7" s="5" t="s">
        <v>43</v>
      </c>
    </row>
    <row r="8" customFormat="false" ht="15" hidden="false" customHeight="false" outlineLevel="0" collapsed="false">
      <c r="A8" s="13" t="s">
        <v>44</v>
      </c>
      <c r="B8" s="14" t="n">
        <v>45</v>
      </c>
      <c r="C8" s="5" t="s">
        <v>45</v>
      </c>
    </row>
    <row r="9" customFormat="false" ht="15" hidden="false" customHeight="false" outlineLevel="0" collapsed="false">
      <c r="A9" s="13" t="s">
        <v>46</v>
      </c>
      <c r="B9" s="14" t="n">
        <v>8</v>
      </c>
      <c r="C9" s="5" t="s">
        <v>47</v>
      </c>
    </row>
    <row r="10" customFormat="false" ht="15" hidden="false" customHeight="false" outlineLevel="0" collapsed="false">
      <c r="A10" s="13" t="s">
        <v>48</v>
      </c>
      <c r="B10" s="14" t="n">
        <v>5</v>
      </c>
      <c r="C10" s="5" t="s">
        <v>49</v>
      </c>
    </row>
    <row r="11" customFormat="false" ht="15" hidden="false" customHeight="false" outlineLevel="0" collapsed="false">
      <c r="A11" s="13" t="s">
        <v>50</v>
      </c>
      <c r="B11" s="14" t="n">
        <v>6</v>
      </c>
      <c r="C11" s="5" t="s">
        <v>51</v>
      </c>
    </row>
    <row r="12" customFormat="false" ht="15" hidden="false" customHeight="false" outlineLevel="0" collapsed="false">
      <c r="A12" s="13" t="s">
        <v>52</v>
      </c>
      <c r="B12" s="14" t="n">
        <v>3</v>
      </c>
      <c r="C12" s="5" t="s">
        <v>53</v>
      </c>
    </row>
    <row r="13" customFormat="false" ht="15" hidden="false" customHeight="false" outlineLevel="0" collapsed="false">
      <c r="A13" s="13" t="s">
        <v>54</v>
      </c>
      <c r="B13" s="14" t="n">
        <v>37</v>
      </c>
      <c r="C13" s="5" t="s">
        <v>55</v>
      </c>
    </row>
    <row r="14" customFormat="false" ht="15" hidden="false" customHeight="false" outlineLevel="0" collapsed="false">
      <c r="A14" s="13" t="s">
        <v>56</v>
      </c>
      <c r="B14" s="14" t="n">
        <v>53</v>
      </c>
      <c r="C14" s="5" t="s">
        <v>57</v>
      </c>
    </row>
    <row r="15" customFormat="false" ht="15" hidden="false" customHeight="false" outlineLevel="0" collapsed="false">
      <c r="A15" s="13" t="s">
        <v>58</v>
      </c>
      <c r="B15" s="17" t="n">
        <v>0.1</v>
      </c>
      <c r="C15" s="5" t="s">
        <v>59</v>
      </c>
    </row>
    <row r="16" customFormat="false" ht="15" hidden="false" customHeight="false" outlineLevel="0" collapsed="false">
      <c r="A16" s="13" t="s">
        <v>60</v>
      </c>
      <c r="B16" s="17" t="n">
        <v>0.9</v>
      </c>
      <c r="C16" s="5" t="s">
        <v>61</v>
      </c>
    </row>
    <row r="18" customFormat="false" ht="15" hidden="false" customHeight="false" outlineLevel="0" collapsed="false">
      <c r="A18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2" min="10" style="0" width="12"/>
    <col collapsed="false" customWidth="true" hidden="false" outlineLevel="0" max="13" min="13" style="0" width="16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true" outlineLevel="0" collapsed="false">
      <c r="A4" s="3" t="s">
        <v>20</v>
      </c>
      <c r="B4" s="3" t="s">
        <v>65</v>
      </c>
      <c r="C4" s="3" t="s">
        <v>4</v>
      </c>
      <c r="D4" s="3" t="s">
        <v>66</v>
      </c>
      <c r="E4" s="3"/>
      <c r="F4" s="3"/>
      <c r="G4" s="3"/>
      <c r="H4" s="3"/>
    </row>
    <row r="5" customFormat="false" ht="27.75" hidden="false" customHeight="true" outlineLevel="0" collapsed="false">
      <c r="A5" s="18" t="s">
        <v>67</v>
      </c>
      <c r="B5" s="5" t="s">
        <v>68</v>
      </c>
      <c r="C5" s="19" t="n">
        <f aca="false">Parámetros!$B$5*Parámetros!$B$6</f>
        <v>6</v>
      </c>
      <c r="D5" s="5" t="s">
        <v>69</v>
      </c>
      <c r="E5" s="5"/>
      <c r="F5" s="5"/>
      <c r="G5" s="5"/>
      <c r="H5" s="5"/>
    </row>
    <row r="6" customFormat="false" ht="27.75" hidden="false" customHeight="true" outlineLevel="0" collapsed="false">
      <c r="A6" s="18" t="s">
        <v>70</v>
      </c>
      <c r="B6" s="5" t="s">
        <v>71</v>
      </c>
      <c r="C6" s="19" t="n">
        <f aca="false">Parámetros!$B$5*Parámetros!$B$6*Parámetros!$B$7</f>
        <v>5.82</v>
      </c>
      <c r="D6" s="5" t="s">
        <v>72</v>
      </c>
      <c r="E6" s="5"/>
      <c r="F6" s="5"/>
      <c r="G6" s="5"/>
      <c r="H6" s="5"/>
    </row>
    <row r="7" customFormat="false" ht="27.75" hidden="false" customHeight="true" outlineLevel="0" collapsed="false">
      <c r="A7" s="18" t="s">
        <v>73</v>
      </c>
      <c r="B7" s="5" t="s">
        <v>74</v>
      </c>
      <c r="C7" s="19" t="n">
        <f aca="false">SQRT(C6)</f>
        <v>2.41246761636296</v>
      </c>
      <c r="D7" s="5" t="s">
        <v>75</v>
      </c>
      <c r="E7" s="5"/>
      <c r="F7" s="5"/>
      <c r="G7" s="5"/>
      <c r="H7" s="5"/>
    </row>
    <row r="8" customFormat="false" ht="27.75" hidden="false" customHeight="true" outlineLevel="0" collapsed="false">
      <c r="A8" s="18" t="str">
        <f aca="false">"C(n, k) con k = "&amp;Parámetros!$B$10</f>
        <v>C(n, k) con k = 5</v>
      </c>
      <c r="B8" s="5" t="s">
        <v>76</v>
      </c>
      <c r="C8" s="20" t="n">
        <f aca="false">COMBIN(Parámetros!$B$5,Parámetros!$B$10)</f>
        <v>2535650040</v>
      </c>
      <c r="D8" s="5" t="s">
        <v>77</v>
      </c>
      <c r="E8" s="5"/>
      <c r="F8" s="5"/>
      <c r="G8" s="5"/>
      <c r="H8" s="5"/>
    </row>
    <row r="9" customFormat="false" ht="27.75" hidden="false" customHeight="true" outlineLevel="0" collapsed="false">
      <c r="A9" s="18" t="str">
        <f aca="false">"p^k con k = "&amp;Parámetros!$B$10</f>
        <v>p^k con k = 5</v>
      </c>
      <c r="B9" s="5" t="s">
        <v>78</v>
      </c>
      <c r="C9" s="21" t="n">
        <f aca="false">Parámetros!$B$6^Parámetros!$B$10</f>
        <v>2.43E-008</v>
      </c>
      <c r="D9" s="5" t="s">
        <v>79</v>
      </c>
      <c r="E9" s="5"/>
      <c r="F9" s="5"/>
      <c r="G9" s="5"/>
      <c r="H9" s="5"/>
    </row>
    <row r="10" customFormat="false" ht="27.75" hidden="false" customHeight="true" outlineLevel="0" collapsed="false">
      <c r="A10" s="18" t="str">
        <f aca="false">"(1 − p)^(n − k) con k = "&amp;Parámetros!$B$10</f>
        <v>(1 − p)^(n − k) con k = 5</v>
      </c>
      <c r="B10" s="5" t="s">
        <v>80</v>
      </c>
      <c r="C10" s="21" t="n">
        <f aca="false">Parámetros!$B$7^(Parámetros!$B$5-Parámetros!$B$10)</f>
        <v>0.0026332262869781</v>
      </c>
      <c r="D10" s="5" t="s">
        <v>81</v>
      </c>
      <c r="E10" s="5"/>
      <c r="F10" s="5"/>
      <c r="G10" s="5"/>
      <c r="H10" s="5"/>
    </row>
    <row r="11" customFormat="false" ht="27.75" hidden="false" customHeight="true" outlineLevel="0" collapsed="false">
      <c r="A11" s="18" t="str">
        <f aca="false">"P(X = "&amp;Parámetros!$B$10&amp;")"</f>
        <v>P(X = 5)</v>
      </c>
      <c r="B11" s="5" t="s">
        <v>82</v>
      </c>
      <c r="C11" s="19" t="n">
        <f aca="false">C8*C9*C10</f>
        <v>0.162249650259693</v>
      </c>
      <c r="D11" s="5" t="s">
        <v>83</v>
      </c>
      <c r="E11" s="5"/>
      <c r="F11" s="5"/>
      <c r="G11" s="5"/>
      <c r="H11" s="5"/>
    </row>
    <row r="12" customFormat="false" ht="27.75" hidden="false" customHeight="true" outlineLevel="0" collapsed="false">
      <c r="A12" s="18" t="str">
        <f aca="false">"P(X = "&amp;Parámetros!$B$10&amp;") con BINOMDIST (verificación)"</f>
        <v>P(X = 5) con BINOMDIST (verificación)</v>
      </c>
      <c r="B12" s="5" t="s">
        <v>84</v>
      </c>
      <c r="C12" s="19" t="n">
        <f aca="false">BINOMDIST(Parámetros!$B$10,Parámetros!$B$5,Parámetros!$B$6,FALSE())</f>
        <v>0.162249650259693</v>
      </c>
      <c r="D12" s="5" t="s">
        <v>85</v>
      </c>
      <c r="E12" s="5"/>
      <c r="F12" s="5"/>
      <c r="G12" s="5"/>
      <c r="H12" s="5"/>
    </row>
    <row r="13" customFormat="false" ht="27.75" hidden="false" customHeight="true" outlineLevel="0" collapsed="false">
      <c r="A13" s="18" t="str">
        <f aca="false">"P(X ≤ "&amp;(Parámetros!$B$11-1)&amp;")"</f>
        <v>P(X ≤ 5)</v>
      </c>
      <c r="B13" s="5" t="s">
        <v>86</v>
      </c>
      <c r="C13" s="19" t="n">
        <f aca="false">BINOMDIST(Parámetros!$B$11-1,Parámetros!$B$5,Parámetros!$B$6,TRUE())</f>
        <v>0.443229212328406</v>
      </c>
      <c r="D13" s="5" t="s">
        <v>87</v>
      </c>
      <c r="E13" s="5"/>
      <c r="F13" s="5"/>
      <c r="G13" s="5"/>
      <c r="H13" s="5"/>
    </row>
    <row r="14" customFormat="false" ht="27.75" hidden="false" customHeight="true" outlineLevel="0" collapsed="false">
      <c r="A14" s="18" t="str">
        <f aca="false">"P(X ≥ "&amp;Parámetros!$B$11&amp;") = 1 − P(X ≤ "&amp;(Parámetros!$B$11-1)&amp;")"</f>
        <v>P(X ≥ 6) = 1 − P(X ≤ 5)</v>
      </c>
      <c r="B14" s="5" t="s">
        <v>88</v>
      </c>
      <c r="C14" s="19" t="n">
        <f aca="false">1-C13</f>
        <v>0.556770787671594</v>
      </c>
      <c r="D14" s="5" t="s">
        <v>89</v>
      </c>
      <c r="E14" s="5"/>
      <c r="F14" s="5"/>
      <c r="G14" s="5"/>
      <c r="H14" s="5"/>
    </row>
    <row r="15" customFormat="false" ht="27.75" hidden="false" customHeight="true" outlineLevel="0" collapsed="false">
      <c r="A15" s="18" t="str">
        <f aca="false">"P(X ≤ "&amp;Parámetros!$B$12&amp;")"</f>
        <v>P(X ≤ 3)</v>
      </c>
      <c r="B15" s="5" t="s">
        <v>90</v>
      </c>
      <c r="C15" s="19" t="n">
        <f aca="false">BINOMDIST(Parámetros!$B$12,Parámetros!$B$5,Parámetros!$B$6,TRUE())</f>
        <v>0.147151194082401</v>
      </c>
      <c r="D15" s="5" t="s">
        <v>91</v>
      </c>
      <c r="E15" s="5"/>
      <c r="F15" s="5"/>
      <c r="G15" s="5"/>
      <c r="H15" s="5"/>
    </row>
    <row r="16" customFormat="false" ht="27.75" hidden="false" customHeight="true" outlineLevel="0" collapsed="false">
      <c r="A16" s="18" t="s">
        <v>92</v>
      </c>
      <c r="B16" s="5" t="s">
        <v>93</v>
      </c>
      <c r="C16" s="22" t="n">
        <f aca="false">C5-2*C7</f>
        <v>1.17506476727407</v>
      </c>
      <c r="D16" s="5" t="s">
        <v>94</v>
      </c>
      <c r="E16" s="5"/>
      <c r="F16" s="5"/>
      <c r="G16" s="5"/>
      <c r="H16" s="5"/>
    </row>
    <row r="17" customFormat="false" ht="27.75" hidden="false" customHeight="true" outlineLevel="0" collapsed="false">
      <c r="A17" s="18" t="s">
        <v>95</v>
      </c>
      <c r="B17" s="5" t="s">
        <v>96</v>
      </c>
      <c r="C17" s="22" t="n">
        <f aca="false">C5+2*C7</f>
        <v>10.8249352327259</v>
      </c>
      <c r="D17" s="5" t="s">
        <v>97</v>
      </c>
      <c r="E17" s="5"/>
      <c r="F17" s="5"/>
      <c r="G17" s="5"/>
      <c r="H17" s="5"/>
    </row>
    <row r="18" customFormat="false" ht="27.75" hidden="false" customHeight="true" outlineLevel="0" collapsed="false">
      <c r="A18" s="18" t="s">
        <v>98</v>
      </c>
      <c r="B18" s="5" t="s">
        <v>99</v>
      </c>
      <c r="C18" s="19" t="n">
        <f aca="false">1-BINOMDIST(9,Parámetros!$B$5,Parámetros!$B$6,TRUE())</f>
        <v>0.0807793591276121</v>
      </c>
      <c r="D18" s="5" t="s">
        <v>100</v>
      </c>
      <c r="E18" s="5"/>
      <c r="F18" s="5"/>
      <c r="G18" s="5"/>
      <c r="H18" s="5"/>
    </row>
    <row r="20" customFormat="false" ht="15" hidden="false" customHeight="false" outlineLevel="0" collapsed="false">
      <c r="A20" s="9" t="s">
        <v>101</v>
      </c>
    </row>
    <row r="21" customFormat="false" ht="15" hidden="false" customHeight="false" outlineLevel="0" collapsed="false">
      <c r="A21" s="3" t="s">
        <v>102</v>
      </c>
      <c r="B21" s="3" t="s">
        <v>103</v>
      </c>
      <c r="C21" s="3" t="s">
        <v>78</v>
      </c>
      <c r="D21" s="3" t="s">
        <v>80</v>
      </c>
      <c r="E21" s="3" t="s">
        <v>104</v>
      </c>
      <c r="F21" s="3" t="s">
        <v>105</v>
      </c>
      <c r="G21" s="3" t="s">
        <v>106</v>
      </c>
      <c r="H21" s="3" t="s">
        <v>107</v>
      </c>
      <c r="I21" s="3" t="s">
        <v>108</v>
      </c>
      <c r="J21" s="3" t="s">
        <v>109</v>
      </c>
      <c r="K21" s="3" t="s">
        <v>110</v>
      </c>
      <c r="L21" s="3" t="s">
        <v>111</v>
      </c>
      <c r="M21" s="3" t="s">
        <v>112</v>
      </c>
    </row>
    <row r="22" customFormat="false" ht="15" hidden="false" customHeight="false" outlineLevel="0" collapsed="false">
      <c r="A22" s="23" t="n">
        <v>0</v>
      </c>
      <c r="B22" s="24" t="n">
        <f aca="false">COMBIN(Parámetros!$B$5,A22)</f>
        <v>1</v>
      </c>
      <c r="C22" s="24" t="n">
        <f aca="false">Parámetros!$B$6^A22</f>
        <v>1</v>
      </c>
      <c r="D22" s="25" t="n">
        <f aca="false">Parámetros!$B$7^(Parámetros!$B$5-A22)</f>
        <v>0.00226124100999577</v>
      </c>
      <c r="E22" s="26" t="n">
        <f aca="false">B22*C22*D22</f>
        <v>0.00226124100999577</v>
      </c>
      <c r="F22" s="25" t="n">
        <f aca="false">BINOMDIST(A22,Parámetros!$B$5,Parámetros!$B$6,FALSE())</f>
        <v>0.00226124100999577</v>
      </c>
      <c r="G22" s="25" t="n">
        <f aca="false">BINOMDIST(A22,Parámetros!$B$5,Parámetros!$B$6,TRUE())</f>
        <v>0.00226124100999577</v>
      </c>
      <c r="H22" s="25" t="n">
        <f aca="false">IF(A22=0,1,1-BINOMDIST(A22-1,Parámetros!$B$5,Parámetros!$B$6,TRUE()))</f>
        <v>1</v>
      </c>
      <c r="I22" s="25" t="n">
        <f aca="false">IF(A22&lt;=Parámetros!$B$12,E22,0)</f>
        <v>0.00226124100999577</v>
      </c>
      <c r="J22" s="25" t="n">
        <f aca="false">IF(AND(A22&gt;Parámetros!$B$12,A22&lt;Parámetros!$B$10),E22,0)</f>
        <v>0</v>
      </c>
      <c r="K22" s="25" t="n">
        <f aca="false">IF(A22=Parámetros!$B$10,E22,0)</f>
        <v>0</v>
      </c>
      <c r="L22" s="25" t="n">
        <f aca="false">IF(A22=$C$5,E22,0)</f>
        <v>0</v>
      </c>
      <c r="M22" s="25" t="n">
        <f aca="false">IF(AND(A22&gt;=Parámetros!$B$11,A22&lt;&gt;$C$5),E22,0)</f>
        <v>0</v>
      </c>
    </row>
    <row r="23" customFormat="false" ht="15" hidden="false" customHeight="false" outlineLevel="0" collapsed="false">
      <c r="A23" s="23" t="n">
        <v>1</v>
      </c>
      <c r="B23" s="24" t="n">
        <f aca="false">COMBIN(Parámetros!$B$5,A23)</f>
        <v>200</v>
      </c>
      <c r="C23" s="24" t="n">
        <f aca="false">Parámetros!$B$6^A23</f>
        <v>0.03</v>
      </c>
      <c r="D23" s="25" t="n">
        <f aca="false">Parámetros!$B$7^(Parámetros!$B$5-A23)</f>
        <v>0.00233117629896471</v>
      </c>
      <c r="E23" s="26" t="n">
        <f aca="false">B23*C23*D23</f>
        <v>0.0139870577937882</v>
      </c>
      <c r="F23" s="25" t="n">
        <f aca="false">BINOMDIST(A23,Parámetros!$B$5,Parámetros!$B$6,FALSE())</f>
        <v>0.0139870577937882</v>
      </c>
      <c r="G23" s="25" t="n">
        <f aca="false">BINOMDIST(A23,Parámetros!$B$5,Parámetros!$B$6,TRUE())</f>
        <v>0.016248298803784</v>
      </c>
      <c r="H23" s="25" t="n">
        <f aca="false">IF(A23=0,1,1-BINOMDIST(A23-1,Parámetros!$B$5,Parámetros!$B$6,TRUE()))</f>
        <v>0.997738758990004</v>
      </c>
      <c r="I23" s="25" t="n">
        <f aca="false">IF(A23&lt;=Parámetros!$B$12,E23,0)</f>
        <v>0.0139870577937882</v>
      </c>
      <c r="J23" s="25" t="n">
        <f aca="false">IF(AND(A23&gt;Parámetros!$B$12,A23&lt;Parámetros!$B$10),E23,0)</f>
        <v>0</v>
      </c>
      <c r="K23" s="25" t="n">
        <f aca="false">IF(A23=Parámetros!$B$10,E23,0)</f>
        <v>0</v>
      </c>
      <c r="L23" s="25" t="n">
        <f aca="false">IF(A23=$C$5,E23,0)</f>
        <v>0</v>
      </c>
      <c r="M23" s="25" t="n">
        <f aca="false">IF(AND(A23&gt;=Parámetros!$B$11,A23&lt;&gt;$C$5),E23,0)</f>
        <v>0</v>
      </c>
    </row>
    <row r="24" customFormat="false" ht="15" hidden="false" customHeight="false" outlineLevel="0" collapsed="false">
      <c r="A24" s="23" t="n">
        <v>2</v>
      </c>
      <c r="B24" s="24" t="n">
        <f aca="false">COMBIN(Parámetros!$B$5,A24)</f>
        <v>19900</v>
      </c>
      <c r="C24" s="24" t="n">
        <f aca="false">Parámetros!$B$6^A24</f>
        <v>0.0009</v>
      </c>
      <c r="D24" s="25" t="n">
        <f aca="false">Parámetros!$B$7^(Parámetros!$B$5-A24)</f>
        <v>0.00240327453501516</v>
      </c>
      <c r="E24" s="26" t="n">
        <f aca="false">B24*C24*D24</f>
        <v>0.0430426469221215</v>
      </c>
      <c r="F24" s="25" t="n">
        <f aca="false">BINOMDIST(A24,Parámetros!$B$5,Parámetros!$B$6,FALSE())</f>
        <v>0.0430426469221215</v>
      </c>
      <c r="G24" s="25" t="n">
        <f aca="false">BINOMDIST(A24,Parámetros!$B$5,Parámetros!$B$6,TRUE())</f>
        <v>0.0592909457259056</v>
      </c>
      <c r="H24" s="25" t="n">
        <f aca="false">IF(A24=0,1,1-BINOMDIST(A24-1,Parámetros!$B$5,Parámetros!$B$6,TRUE()))</f>
        <v>0.983751701196216</v>
      </c>
      <c r="I24" s="25" t="n">
        <f aca="false">IF(A24&lt;=Parámetros!$B$12,E24,0)</f>
        <v>0.0430426469221215</v>
      </c>
      <c r="J24" s="25" t="n">
        <f aca="false">IF(AND(A24&gt;Parámetros!$B$12,A24&lt;Parámetros!$B$10),E24,0)</f>
        <v>0</v>
      </c>
      <c r="K24" s="25" t="n">
        <f aca="false">IF(A24=Parámetros!$B$10,E24,0)</f>
        <v>0</v>
      </c>
      <c r="L24" s="25" t="n">
        <f aca="false">IF(A24=$C$5,E24,0)</f>
        <v>0</v>
      </c>
      <c r="M24" s="25" t="n">
        <f aca="false">IF(AND(A24&gt;=Parámetros!$B$11,A24&lt;&gt;$C$5),E24,0)</f>
        <v>0</v>
      </c>
    </row>
    <row r="25" customFormat="false" ht="15" hidden="false" customHeight="false" outlineLevel="0" collapsed="false">
      <c r="A25" s="23" t="n">
        <v>3</v>
      </c>
      <c r="B25" s="24" t="n">
        <f aca="false">COMBIN(Parámetros!$B$5,A25)</f>
        <v>1313400</v>
      </c>
      <c r="C25" s="24" t="n">
        <f aca="false">Parámetros!$B$6^A25</f>
        <v>2.7E-005</v>
      </c>
      <c r="D25" s="25" t="n">
        <f aca="false">Parámetros!$B$7^(Parámetros!$B$5-A25)</f>
        <v>0.00247760261341769</v>
      </c>
      <c r="E25" s="26" t="n">
        <f aca="false">B25*C25*D25</f>
        <v>0.0878602483564955</v>
      </c>
      <c r="F25" s="25" t="n">
        <f aca="false">BINOMDIST(A25,Parámetros!$B$5,Parámetros!$B$6,FALSE())</f>
        <v>0.0878602483564955</v>
      </c>
      <c r="G25" s="25" t="n">
        <f aca="false">BINOMDIST(A25,Parámetros!$B$5,Parámetros!$B$6,TRUE())</f>
        <v>0.147151194082401</v>
      </c>
      <c r="H25" s="25" t="n">
        <f aca="false">IF(A25=0,1,1-BINOMDIST(A25-1,Parámetros!$B$5,Parámetros!$B$6,TRUE()))</f>
        <v>0.940709054274095</v>
      </c>
      <c r="I25" s="25" t="n">
        <f aca="false">IF(A25&lt;=Parámetros!$B$12,E25,0)</f>
        <v>0.0878602483564955</v>
      </c>
      <c r="J25" s="25" t="n">
        <f aca="false">IF(AND(A25&gt;Parámetros!$B$12,A25&lt;Parámetros!$B$10),E25,0)</f>
        <v>0</v>
      </c>
      <c r="K25" s="25" t="n">
        <f aca="false">IF(A25=Parámetros!$B$10,E25,0)</f>
        <v>0</v>
      </c>
      <c r="L25" s="25" t="n">
        <f aca="false">IF(A25=$C$5,E25,0)</f>
        <v>0</v>
      </c>
      <c r="M25" s="25" t="n">
        <f aca="false">IF(AND(A25&gt;=Parámetros!$B$11,A25&lt;&gt;$C$5),E25,0)</f>
        <v>0</v>
      </c>
    </row>
    <row r="26" customFormat="false" ht="15" hidden="false" customHeight="false" outlineLevel="0" collapsed="false">
      <c r="A26" s="23" t="n">
        <v>4</v>
      </c>
      <c r="B26" s="24" t="n">
        <f aca="false">COMBIN(Parámetros!$B$5,A26)</f>
        <v>64684950</v>
      </c>
      <c r="C26" s="24" t="n">
        <f aca="false">Parámetros!$B$6^A26</f>
        <v>8.1E-007</v>
      </c>
      <c r="D26" s="25" t="n">
        <f aca="false">Parámetros!$B$7^(Parámetros!$B$5-A26)</f>
        <v>0.00255422949836876</v>
      </c>
      <c r="E26" s="26" t="n">
        <f aca="false">B26*C26*D26</f>
        <v>0.133828367986311</v>
      </c>
      <c r="F26" s="25" t="n">
        <f aca="false">BINOMDIST(A26,Parámetros!$B$5,Parámetros!$B$6,FALSE())</f>
        <v>0.133828367986311</v>
      </c>
      <c r="G26" s="25" t="n">
        <f aca="false">BINOMDIST(A26,Parámetros!$B$5,Parámetros!$B$6,TRUE())</f>
        <v>0.280979562068713</v>
      </c>
      <c r="H26" s="25" t="n">
        <f aca="false">IF(A26=0,1,1-BINOMDIST(A26-1,Parámetros!$B$5,Parámetros!$B$6,TRUE()))</f>
        <v>0.852848805917599</v>
      </c>
      <c r="I26" s="25" t="n">
        <f aca="false">IF(A26&lt;=Parámetros!$B$12,E26,0)</f>
        <v>0</v>
      </c>
      <c r="J26" s="25" t="n">
        <f aca="false">IF(AND(A26&gt;Parámetros!$B$12,A26&lt;Parámetros!$B$10),E26,0)</f>
        <v>0.133828367986311</v>
      </c>
      <c r="K26" s="25" t="n">
        <f aca="false">IF(A26=Parámetros!$B$10,E26,0)</f>
        <v>0</v>
      </c>
      <c r="L26" s="25" t="n">
        <f aca="false">IF(A26=$C$5,E26,0)</f>
        <v>0</v>
      </c>
      <c r="M26" s="25" t="n">
        <f aca="false">IF(AND(A26&gt;=Parámetros!$B$11,A26&lt;&gt;$C$5),E26,0)</f>
        <v>0</v>
      </c>
    </row>
    <row r="27" customFormat="false" ht="15" hidden="false" customHeight="false" outlineLevel="0" collapsed="false">
      <c r="A27" s="23" t="n">
        <v>5</v>
      </c>
      <c r="B27" s="24" t="n">
        <f aca="false">COMBIN(Parámetros!$B$5,A27)</f>
        <v>2535650040</v>
      </c>
      <c r="C27" s="24" t="n">
        <f aca="false">Parámetros!$B$6^A27</f>
        <v>2.43E-008</v>
      </c>
      <c r="D27" s="25" t="n">
        <f aca="false">Parámetros!$B$7^(Parámetros!$B$5-A27)</f>
        <v>0.0026332262869781</v>
      </c>
      <c r="E27" s="26" t="n">
        <f aca="false">B27*C27*D27</f>
        <v>0.162249650259693</v>
      </c>
      <c r="F27" s="25" t="n">
        <f aca="false">BINOMDIST(A27,Parámetros!$B$5,Parámetros!$B$6,FALSE())</f>
        <v>0.162249650259693</v>
      </c>
      <c r="G27" s="25" t="n">
        <f aca="false">BINOMDIST(A27,Parámetros!$B$5,Parámetros!$B$6,TRUE())</f>
        <v>0.443229212328406</v>
      </c>
      <c r="H27" s="25" t="n">
        <f aca="false">IF(A27=0,1,1-BINOMDIST(A27-1,Parámetros!$B$5,Parámetros!$B$6,TRUE()))</f>
        <v>0.719020437931287</v>
      </c>
      <c r="I27" s="25" t="n">
        <f aca="false">IF(A27&lt;=Parámetros!$B$12,E27,0)</f>
        <v>0</v>
      </c>
      <c r="J27" s="25" t="n">
        <f aca="false">IF(AND(A27&gt;Parámetros!$B$12,A27&lt;Parámetros!$B$10),E27,0)</f>
        <v>0</v>
      </c>
      <c r="K27" s="25" t="n">
        <f aca="false">IF(A27=Parámetros!$B$10,E27,0)</f>
        <v>0.162249650259693</v>
      </c>
      <c r="L27" s="25" t="n">
        <f aca="false">IF(A27=$C$5,E27,0)</f>
        <v>0</v>
      </c>
      <c r="M27" s="25" t="n">
        <f aca="false">IF(AND(A27&gt;=Parámetros!$B$11,A27&lt;&gt;$C$5),E27,0)</f>
        <v>0</v>
      </c>
    </row>
    <row r="28" customFormat="false" ht="15" hidden="false" customHeight="false" outlineLevel="0" collapsed="false">
      <c r="A28" s="23" t="n">
        <v>6</v>
      </c>
      <c r="B28" s="24" t="n">
        <f aca="false">COMBIN(Parámetros!$B$5,A28)</f>
        <v>82408626300</v>
      </c>
      <c r="C28" s="24" t="n">
        <f aca="false">Parámetros!$B$6^A28</f>
        <v>7.29E-010</v>
      </c>
      <c r="D28" s="25" t="n">
        <f aca="false">Parámetros!$B$7^(Parámetros!$B$5-A28)</f>
        <v>0.00271466627523515</v>
      </c>
      <c r="E28" s="26" t="n">
        <f aca="false">B28*C28*D28</f>
        <v>0.163085988663094</v>
      </c>
      <c r="F28" s="25" t="n">
        <f aca="false">BINOMDIST(A28,Parámetros!$B$5,Parámetros!$B$6,FALSE())</f>
        <v>0.163085988663094</v>
      </c>
      <c r="G28" s="25" t="n">
        <f aca="false">BINOMDIST(A28,Parámetros!$B$5,Parámetros!$B$6,TRUE())</f>
        <v>0.606315200991499</v>
      </c>
      <c r="H28" s="25" t="n">
        <f aca="false">IF(A28=0,1,1-BINOMDIST(A28-1,Parámetros!$B$5,Parámetros!$B$6,TRUE()))</f>
        <v>0.556770787671594</v>
      </c>
      <c r="I28" s="25" t="n">
        <f aca="false">IF(A28&lt;=Parámetros!$B$12,E28,0)</f>
        <v>0</v>
      </c>
      <c r="J28" s="25" t="n">
        <f aca="false">IF(AND(A28&gt;Parámetros!$B$12,A28&lt;Parámetros!$B$10),E28,0)</f>
        <v>0</v>
      </c>
      <c r="K28" s="25" t="n">
        <f aca="false">IF(A28=Parámetros!$B$10,E28,0)</f>
        <v>0</v>
      </c>
      <c r="L28" s="25" t="n">
        <f aca="false">IF(A28=$C$5,E28,0)</f>
        <v>0.163085988663094</v>
      </c>
      <c r="M28" s="25" t="n">
        <f aca="false">IF(AND(A28&gt;=Parámetros!$B$11,A28&lt;&gt;$C$5),E28,0)</f>
        <v>0</v>
      </c>
    </row>
    <row r="29" customFormat="false" ht="15" hidden="false" customHeight="false" outlineLevel="0" collapsed="false">
      <c r="A29" s="23" t="n">
        <v>7</v>
      </c>
      <c r="B29" s="24" t="n">
        <f aca="false">COMBIN(Parámetros!$B$5,A29)</f>
        <v>2283896214600</v>
      </c>
      <c r="C29" s="24" t="n">
        <f aca="false">Parámetros!$B$6^A29</f>
        <v>2.187E-011</v>
      </c>
      <c r="D29" s="25" t="n">
        <f aca="false">Parámetros!$B$7^(Parámetros!$B$5-A29)</f>
        <v>0.00279862502601562</v>
      </c>
      <c r="E29" s="26" t="n">
        <f aca="false">B29*C29*D29</f>
        <v>0.139787990282652</v>
      </c>
      <c r="F29" s="25" t="n">
        <f aca="false">BINOMDIST(A29,Parámetros!$B$5,Parámetros!$B$6,FALSE())</f>
        <v>0.139787990282652</v>
      </c>
      <c r="G29" s="25" t="n">
        <f aca="false">BINOMDIST(A29,Parámetros!$B$5,Parámetros!$B$6,TRUE())</f>
        <v>0.746103191274151</v>
      </c>
      <c r="H29" s="25" t="n">
        <f aca="false">IF(A29=0,1,1-BINOMDIST(A29-1,Parámetros!$B$5,Parámetros!$B$6,TRUE()))</f>
        <v>0.393684799008501</v>
      </c>
      <c r="I29" s="25" t="n">
        <f aca="false">IF(A29&lt;=Parámetros!$B$12,E29,0)</f>
        <v>0</v>
      </c>
      <c r="J29" s="25" t="n">
        <f aca="false">IF(AND(A29&gt;Parámetros!$B$12,A29&lt;Parámetros!$B$10),E29,0)</f>
        <v>0</v>
      </c>
      <c r="K29" s="25" t="n">
        <f aca="false">IF(A29=Parámetros!$B$10,E29,0)</f>
        <v>0</v>
      </c>
      <c r="L29" s="25" t="n">
        <f aca="false">IF(A29=$C$5,E29,0)</f>
        <v>0</v>
      </c>
      <c r="M29" s="25" t="n">
        <f aca="false">IF(AND(A29&gt;=Parámetros!$B$11,A29&lt;&gt;$C$5),E29,0)</f>
        <v>0.139787990282652</v>
      </c>
    </row>
    <row r="30" customFormat="false" ht="15" hidden="false" customHeight="false" outlineLevel="0" collapsed="false">
      <c r="A30" s="23" t="n">
        <v>8</v>
      </c>
      <c r="B30" s="24" t="n">
        <f aca="false">COMBIN(Parámetros!$B$5,A30)</f>
        <v>55098996177225</v>
      </c>
      <c r="C30" s="24" t="n">
        <f aca="false">Parámetros!$B$6^A30</f>
        <v>6.561E-013</v>
      </c>
      <c r="D30" s="25" t="n">
        <f aca="false">Parámetros!$B$7^(Parámetros!$B$5-A30)</f>
        <v>0.00288518043919136</v>
      </c>
      <c r="E30" s="26" t="n">
        <f aca="false">B30*C30*D30</f>
        <v>0.104300575223783</v>
      </c>
      <c r="F30" s="25" t="n">
        <f aca="false">BINOMDIST(A30,Parámetros!$B$5,Parámetros!$B$6,FALSE())</f>
        <v>0.104300575223783</v>
      </c>
      <c r="G30" s="25" t="n">
        <f aca="false">BINOMDIST(A30,Parámetros!$B$5,Parámetros!$B$6,TRUE())</f>
        <v>0.850403766497934</v>
      </c>
      <c r="H30" s="25" t="n">
        <f aca="false">IF(A30=0,1,1-BINOMDIST(A30-1,Parámetros!$B$5,Parámetros!$B$6,TRUE()))</f>
        <v>0.253896808725849</v>
      </c>
      <c r="I30" s="25" t="n">
        <f aca="false">IF(A30&lt;=Parámetros!$B$12,E30,0)</f>
        <v>0</v>
      </c>
      <c r="J30" s="25" t="n">
        <f aca="false">IF(AND(A30&gt;Parámetros!$B$12,A30&lt;Parámetros!$B$10),E30,0)</f>
        <v>0</v>
      </c>
      <c r="K30" s="25" t="n">
        <f aca="false">IF(A30=Parámetros!$B$10,E30,0)</f>
        <v>0</v>
      </c>
      <c r="L30" s="25" t="n">
        <f aca="false">IF(A30=$C$5,E30,0)</f>
        <v>0</v>
      </c>
      <c r="M30" s="25" t="n">
        <f aca="false">IF(AND(A30&gt;=Parámetros!$B$11,A30&lt;&gt;$C$5),E30,0)</f>
        <v>0.104300575223783</v>
      </c>
    </row>
    <row r="31" customFormat="false" ht="15" hidden="false" customHeight="false" outlineLevel="0" collapsed="false">
      <c r="A31" s="23" t="n">
        <v>9</v>
      </c>
      <c r="B31" s="24" t="n">
        <f aca="false">COMBIN(Parámetros!$B$5,A31)</f>
        <v>1175445251780800</v>
      </c>
      <c r="C31" s="24" t="n">
        <f aca="false">Parámetros!$B$6^A31</f>
        <v>1.9683E-014</v>
      </c>
      <c r="D31" s="25" t="n">
        <f aca="false">Parámetros!$B$7^(Parámetros!$B$5-A31)</f>
        <v>0.00297441282390862</v>
      </c>
      <c r="E31" s="26" t="n">
        <f aca="false">B31*C31*D31</f>
        <v>0.0688168743744545</v>
      </c>
      <c r="F31" s="25" t="n">
        <f aca="false">BINOMDIST(A31,Parámetros!$B$5,Parámetros!$B$6,FALSE())</f>
        <v>0.0688168743744545</v>
      </c>
      <c r="G31" s="25" t="n">
        <f aca="false">BINOMDIST(A31,Parámetros!$B$5,Parámetros!$B$6,TRUE())</f>
        <v>0.919220640872388</v>
      </c>
      <c r="H31" s="25" t="n">
        <f aca="false">IF(A31=0,1,1-BINOMDIST(A31-1,Parámetros!$B$5,Parámetros!$B$6,TRUE()))</f>
        <v>0.149596233502067</v>
      </c>
      <c r="I31" s="25" t="n">
        <f aca="false">IF(A31&lt;=Parámetros!$B$12,E31,0)</f>
        <v>0</v>
      </c>
      <c r="J31" s="25" t="n">
        <f aca="false">IF(AND(A31&gt;Parámetros!$B$12,A31&lt;Parámetros!$B$10),E31,0)</f>
        <v>0</v>
      </c>
      <c r="K31" s="25" t="n">
        <f aca="false">IF(A31=Parámetros!$B$10,E31,0)</f>
        <v>0</v>
      </c>
      <c r="L31" s="25" t="n">
        <f aca="false">IF(A31=$C$5,E31,0)</f>
        <v>0</v>
      </c>
      <c r="M31" s="25" t="n">
        <f aca="false">IF(AND(A31&gt;=Parámetros!$B$11,A31&lt;&gt;$C$5),E31,0)</f>
        <v>0.0688168743744545</v>
      </c>
    </row>
    <row r="32" customFormat="false" ht="15" hidden="false" customHeight="false" outlineLevel="0" collapsed="false">
      <c r="A32" s="23" t="n">
        <v>10</v>
      </c>
      <c r="B32" s="24" t="n">
        <f aca="false">COMBIN(Parámetros!$B$5,A32)</f>
        <v>22451004309013300</v>
      </c>
      <c r="C32" s="24" t="n">
        <f aca="false">Parámetros!$B$6^A32</f>
        <v>5.9049E-016</v>
      </c>
      <c r="D32" s="25" t="n">
        <f aca="false">Parámetros!$B$7^(Parámetros!$B$5-A32)</f>
        <v>0.00306640497310167</v>
      </c>
      <c r="E32" s="26" t="n">
        <f aca="false">B32*C32*D32</f>
        <v>0.0406516175428478</v>
      </c>
      <c r="F32" s="25" t="n">
        <f aca="false">BINOMDIST(A32,Parámetros!$B$5,Parámetros!$B$6,FALSE())</f>
        <v>0.0406516175428479</v>
      </c>
      <c r="G32" s="25" t="n">
        <f aca="false">BINOMDIST(A32,Parámetros!$B$5,Parámetros!$B$6,TRUE())</f>
        <v>0.959872258415236</v>
      </c>
      <c r="H32" s="25" t="n">
        <f aca="false">IF(A32=0,1,1-BINOMDIST(A32-1,Parámetros!$B$5,Parámetros!$B$6,TRUE()))</f>
        <v>0.0807793591276121</v>
      </c>
      <c r="I32" s="25" t="n">
        <f aca="false">IF(A32&lt;=Parámetros!$B$12,E32,0)</f>
        <v>0</v>
      </c>
      <c r="J32" s="25" t="n">
        <f aca="false">IF(AND(A32&gt;Parámetros!$B$12,A32&lt;Parámetros!$B$10),E32,0)</f>
        <v>0</v>
      </c>
      <c r="K32" s="25" t="n">
        <f aca="false">IF(A32=Parámetros!$B$10,E32,0)</f>
        <v>0</v>
      </c>
      <c r="L32" s="25" t="n">
        <f aca="false">IF(A32=$C$5,E32,0)</f>
        <v>0</v>
      </c>
      <c r="M32" s="25" t="n">
        <f aca="false">IF(AND(A32&gt;=Parámetros!$B$11,A32&lt;&gt;$C$5),E32,0)</f>
        <v>0.0406516175428478</v>
      </c>
    </row>
    <row r="33" customFormat="false" ht="15" hidden="false" customHeight="false" outlineLevel="0" collapsed="false">
      <c r="A33" s="23" t="n">
        <v>11</v>
      </c>
      <c r="B33" s="24" t="n">
        <f aca="false">COMBIN(Parámetros!$B$5,A33)</f>
        <v>3.87790074428411E+017</v>
      </c>
      <c r="C33" s="24" t="n">
        <f aca="false">Parámetros!$B$6^A33</f>
        <v>1.77147E-017</v>
      </c>
      <c r="D33" s="25" t="n">
        <f aca="false">Parámetros!$B$7^(Parámetros!$B$5-A33)</f>
        <v>0.003161242240311</v>
      </c>
      <c r="E33" s="26" t="n">
        <f aca="false">B33*C33*D33</f>
        <v>0.0217164217426647</v>
      </c>
      <c r="F33" s="25" t="n">
        <f aca="false">BINOMDIST(A33,Parámetros!$B$5,Parámetros!$B$6,FALSE())</f>
        <v>0.0217164217426647</v>
      </c>
      <c r="G33" s="25" t="n">
        <f aca="false">BINOMDIST(A33,Parámetros!$B$5,Parámetros!$B$6,TRUE())</f>
        <v>0.981588680157901</v>
      </c>
      <c r="H33" s="25" t="n">
        <f aca="false">IF(A33=0,1,1-BINOMDIST(A33-1,Parámetros!$B$5,Parámetros!$B$6,TRUE()))</f>
        <v>0.0401277415847642</v>
      </c>
      <c r="I33" s="25" t="n">
        <f aca="false">IF(A33&lt;=Parámetros!$B$12,E33,0)</f>
        <v>0</v>
      </c>
      <c r="J33" s="25" t="n">
        <f aca="false">IF(AND(A33&gt;Parámetros!$B$12,A33&lt;Parámetros!$B$10),E33,0)</f>
        <v>0</v>
      </c>
      <c r="K33" s="25" t="n">
        <f aca="false">IF(A33=Parámetros!$B$10,E33,0)</f>
        <v>0</v>
      </c>
      <c r="L33" s="25" t="n">
        <f aca="false">IF(A33=$C$5,E33,0)</f>
        <v>0</v>
      </c>
      <c r="M33" s="25" t="n">
        <f aca="false">IF(AND(A33&gt;=Parámetros!$B$11,A33&lt;&gt;$C$5),E33,0)</f>
        <v>0.0217164217426647</v>
      </c>
    </row>
    <row r="34" customFormat="false" ht="15" hidden="false" customHeight="false" outlineLevel="0" collapsed="false">
      <c r="A34" s="23" t="n">
        <v>12</v>
      </c>
      <c r="B34" s="24" t="n">
        <f aca="false">COMBIN(Parámetros!$B$5,A34)</f>
        <v>6.10769367224748E+018</v>
      </c>
      <c r="C34" s="24" t="n">
        <f aca="false">Parámetros!$B$6^A34</f>
        <v>5.31441E-019</v>
      </c>
      <c r="D34" s="25" t="n">
        <f aca="false">Parámetros!$B$7^(Parámetros!$B$5-A34)</f>
        <v>0.00325901261887732</v>
      </c>
      <c r="E34" s="26" t="n">
        <f aca="false">B34*C34*D34</f>
        <v>0.0105783600756795</v>
      </c>
      <c r="F34" s="25" t="n">
        <f aca="false">BINOMDIST(A34,Parámetros!$B$5,Parámetros!$B$6,FALSE())</f>
        <v>0.0105783600756795</v>
      </c>
      <c r="G34" s="25" t="n">
        <f aca="false">BINOMDIST(A34,Parámetros!$B$5,Parámetros!$B$6,TRUE())</f>
        <v>0.99216704023358</v>
      </c>
      <c r="H34" s="25" t="n">
        <f aca="false">IF(A34=0,1,1-BINOMDIST(A34-1,Parámetros!$B$5,Parámetros!$B$6,TRUE()))</f>
        <v>0.0184113198420994</v>
      </c>
      <c r="I34" s="25" t="n">
        <f aca="false">IF(A34&lt;=Parámetros!$B$12,E34,0)</f>
        <v>0</v>
      </c>
      <c r="J34" s="25" t="n">
        <f aca="false">IF(AND(A34&gt;Parámetros!$B$12,A34&lt;Parámetros!$B$10),E34,0)</f>
        <v>0</v>
      </c>
      <c r="K34" s="25" t="n">
        <f aca="false">IF(A34=Parámetros!$B$10,E34,0)</f>
        <v>0</v>
      </c>
      <c r="L34" s="25" t="n">
        <f aca="false">IF(A34=$C$5,E34,0)</f>
        <v>0</v>
      </c>
      <c r="M34" s="25" t="n">
        <f aca="false">IF(AND(A34&gt;=Parámetros!$B$11,A34&lt;&gt;$C$5),E34,0)</f>
        <v>0.0105783600756795</v>
      </c>
    </row>
    <row r="35" customFormat="false" ht="15" hidden="false" customHeight="false" outlineLevel="0" collapsed="false">
      <c r="A35" s="13" t="s">
        <v>113</v>
      </c>
      <c r="E35" s="27" t="n">
        <f aca="false">SUM(E22:E34)</f>
        <v>0.99216704023358</v>
      </c>
    </row>
    <row r="36" customFormat="false" ht="15" hidden="false" customHeight="false" outlineLevel="0" collapsed="false">
      <c r="A36" s="2" t="s">
        <v>114</v>
      </c>
    </row>
  </sheetData>
  <mergeCells count="15">
    <mergeCell ref="D4:H4"/>
    <mergeCell ref="D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6" min="4" style="0" width="22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15" hidden="false" customHeight="false" outlineLevel="0" collapsed="false">
      <c r="A4" s="13" t="s">
        <v>117</v>
      </c>
      <c r="B4" s="16" t="n">
        <f aca="false">Parámetros!$B$8</f>
        <v>45</v>
      </c>
      <c r="C4" s="13" t="s">
        <v>118</v>
      </c>
      <c r="D4" s="16" t="n">
        <f aca="false">Parámetros!$B$9</f>
        <v>8</v>
      </c>
    </row>
    <row r="6" customFormat="false" ht="31.5" hidden="false" customHeight="true" outlineLevel="0" collapsed="false">
      <c r="A6" s="3" t="s">
        <v>2</v>
      </c>
      <c r="B6" s="3" t="s">
        <v>119</v>
      </c>
      <c r="C6" s="3" t="s">
        <v>65</v>
      </c>
      <c r="D6" s="3" t="s">
        <v>120</v>
      </c>
      <c r="E6" s="3" t="s">
        <v>121</v>
      </c>
      <c r="F6" s="3" t="s">
        <v>122</v>
      </c>
      <c r="G6" s="3" t="s">
        <v>66</v>
      </c>
    </row>
    <row r="7" customFormat="false" ht="15" hidden="false" customHeight="false" outlineLevel="0" collapsed="false">
      <c r="A7" s="28" t="n">
        <v>1</v>
      </c>
      <c r="B7" s="18" t="str">
        <f aca="false">"z para "&amp;Parámetros!$B$13&amp;" min"</f>
        <v>z para 37 min</v>
      </c>
      <c r="C7" s="5" t="s">
        <v>123</v>
      </c>
      <c r="D7" s="11" t="n">
        <f aca="false">(Parámetros!$B$13-$B$4)/$D$4</f>
        <v>-1</v>
      </c>
      <c r="E7" s="29" t="n">
        <f aca="false">INDEX('Tabla Z'!$B$5:$K$39,INT(ROUND(ABS(D7)*100,0)/10)+1,MOD(ROUND(ABS(D7)*100,0),10)+1)</f>
        <v>0.8413</v>
      </c>
      <c r="F7" s="12" t="n">
        <f aca="false">ROUND(D7,2)</f>
        <v>-1</v>
      </c>
      <c r="G7" s="5" t="s">
        <v>124</v>
      </c>
    </row>
    <row r="8" customFormat="false" ht="15" hidden="false" customHeight="false" outlineLevel="0" collapsed="false">
      <c r="A8" s="28" t="n">
        <v>2</v>
      </c>
      <c r="B8" s="18" t="str">
        <f aca="false">"z para "&amp;Parámetros!$B$14&amp;" min"</f>
        <v>z para 53 min</v>
      </c>
      <c r="C8" s="5" t="s">
        <v>123</v>
      </c>
      <c r="D8" s="11" t="n">
        <f aca="false">(Parámetros!$B$14-$B$4)/$D$4</f>
        <v>1</v>
      </c>
      <c r="E8" s="29" t="n">
        <f aca="false">INDEX('Tabla Z'!$B$5:$K$39,INT(ROUND(ABS(D8)*100,0)/10)+1,MOD(ROUND(ABS(D8)*100,0),10)+1)</f>
        <v>0.8413</v>
      </c>
      <c r="F8" s="12" t="n">
        <f aca="false">ROUND(D8,2)</f>
        <v>1</v>
      </c>
      <c r="G8" s="5" t="s">
        <v>125</v>
      </c>
    </row>
    <row r="9" customFormat="false" ht="23.85" hidden="false" customHeight="false" outlineLevel="0" collapsed="false">
      <c r="A9" s="28" t="n">
        <v>3</v>
      </c>
      <c r="B9" s="18" t="str">
        <f aca="false">"z del percentil "&amp;TEXT(Parámetros!$B$15,"0%")</f>
        <v>z del percentil 10%</v>
      </c>
      <c r="C9" s="5" t="s">
        <v>126</v>
      </c>
      <c r="D9" s="11" t="n">
        <f aca="false">NORMSINV(Parámetros!$B$15)</f>
        <v>-1.2815515655446</v>
      </c>
      <c r="E9" s="29" t="n">
        <f aca="false">INDEX('Tabla Z'!$B$5:$K$39,INT(ROUND(ABS(D9)*100,0)/10)+1,MOD(ROUND(ABS(D9)*100,0),10)+1)</f>
        <v>0.8997</v>
      </c>
      <c r="F9" s="12" t="n">
        <f aca="false">ROUND(D9,2)</f>
        <v>-1.28</v>
      </c>
      <c r="G9" s="5" t="s">
        <v>127</v>
      </c>
    </row>
    <row r="10" customFormat="false" ht="15" hidden="false" customHeight="false" outlineLevel="0" collapsed="false">
      <c r="A10" s="28" t="n">
        <v>4</v>
      </c>
      <c r="B10" s="18" t="str">
        <f aca="false">"P(X &lt; "&amp;Parámetros!$B$13&amp;")"</f>
        <v>P(X &lt; 37)</v>
      </c>
      <c r="C10" s="5" t="s">
        <v>128</v>
      </c>
      <c r="D10" s="11" t="n">
        <f aca="false">NORMSDIST(D7)</f>
        <v>0.158655253931457</v>
      </c>
      <c r="E10" s="29"/>
      <c r="F10" s="11" t="n">
        <f aca="false">1-E7</f>
        <v>0.1587</v>
      </c>
      <c r="G10" s="5" t="s">
        <v>129</v>
      </c>
    </row>
    <row r="11" customFormat="false" ht="15" hidden="false" customHeight="false" outlineLevel="0" collapsed="false">
      <c r="A11" s="28" t="n">
        <v>5</v>
      </c>
      <c r="B11" s="18" t="str">
        <f aca="false">"P(X &gt; "&amp;Parámetros!$B$14&amp;")"</f>
        <v>P(X &gt; 53)</v>
      </c>
      <c r="C11" s="5" t="s">
        <v>130</v>
      </c>
      <c r="D11" s="11" t="n">
        <f aca="false">1-NORMSDIST(D8)</f>
        <v>0.158655253931457</v>
      </c>
      <c r="E11" s="29"/>
      <c r="F11" s="11" t="n">
        <f aca="false">1-E8</f>
        <v>0.1587</v>
      </c>
      <c r="G11" s="5" t="s">
        <v>131</v>
      </c>
    </row>
    <row r="12" customFormat="false" ht="15" hidden="false" customHeight="false" outlineLevel="0" collapsed="false">
      <c r="A12" s="28" t="n">
        <v>6</v>
      </c>
      <c r="B12" s="18" t="str">
        <f aca="false">"P("&amp;Parámetros!$B$13&amp;" &lt; X &lt; "&amp;Parámetros!$B$14&amp;")"</f>
        <v>P(37 &lt; X &lt; 53)</v>
      </c>
      <c r="C12" s="5" t="s">
        <v>132</v>
      </c>
      <c r="D12" s="11" t="n">
        <f aca="false">NORMSDIST(D8)-NORMSDIST(D7)</f>
        <v>0.682689492137086</v>
      </c>
      <c r="E12" s="29"/>
      <c r="F12" s="11" t="n">
        <f aca="false">E8-(1-E7)</f>
        <v>0.6826</v>
      </c>
      <c r="G12" s="5" t="s">
        <v>133</v>
      </c>
    </row>
    <row r="13" customFormat="false" ht="15" hidden="false" customHeight="false" outlineLevel="0" collapsed="false">
      <c r="A13" s="28" t="n">
        <v>7</v>
      </c>
      <c r="B13" s="18" t="str">
        <f aca="false">"Tiempo del percentil "&amp;TEXT(Parámetros!$B$15,"0%")&amp;" (min)"</f>
        <v>Tiempo del percentil 10% (min)</v>
      </c>
      <c r="C13" s="5" t="s">
        <v>134</v>
      </c>
      <c r="D13" s="12" t="n">
        <f aca="false">$B$4+D9*$D$4</f>
        <v>34.7475874756432</v>
      </c>
      <c r="E13" s="29"/>
      <c r="F13" s="12" t="n">
        <f aca="false">$B$4+F9*$D$4</f>
        <v>34.76</v>
      </c>
      <c r="G13" s="5" t="s">
        <v>135</v>
      </c>
    </row>
    <row r="14" customFormat="false" ht="23.85" hidden="false" customHeight="false" outlineLevel="0" collapsed="false">
      <c r="A14" s="28" t="n">
        <v>8</v>
      </c>
      <c r="B14" s="18" t="str">
        <f aca="false">"z del percentil "&amp;TEXT(Parámetros!$B$16,"0%")</f>
        <v>z del percentil 90%</v>
      </c>
      <c r="C14" s="5" t="s">
        <v>136</v>
      </c>
      <c r="D14" s="11" t="n">
        <f aca="false">NORMSINV(Parámetros!$B$16)</f>
        <v>1.2815515655446</v>
      </c>
      <c r="E14" s="29" t="n">
        <f aca="false">INDEX('Tabla Z'!$B$5:$K$39,INT(ROUND(ABS(D14)*100,0)/10)+1,MOD(ROUND(ABS(D14)*100,0),10)+1)</f>
        <v>0.8997</v>
      </c>
      <c r="F14" s="12" t="n">
        <f aca="false">ROUND(D14,2)</f>
        <v>1.28</v>
      </c>
      <c r="G14" s="5" t="s">
        <v>137</v>
      </c>
    </row>
    <row r="15" customFormat="false" ht="15" hidden="false" customHeight="false" outlineLevel="0" collapsed="false">
      <c r="A15" s="28" t="n">
        <v>9</v>
      </c>
      <c r="B15" s="18" t="str">
        <f aca="false">"Tiempo del percentil "&amp;TEXT(Parámetros!$B$16,"0%")&amp;" (min)"</f>
        <v>Tiempo del percentil 90% (min)</v>
      </c>
      <c r="C15" s="5" t="s">
        <v>134</v>
      </c>
      <c r="D15" s="12" t="n">
        <f aca="false">NORMINV(Parámetros!$B$16,$B$4,$D$4)</f>
        <v>55.2524125243568</v>
      </c>
      <c r="E15" s="29"/>
      <c r="F15" s="12" t="n">
        <f aca="false">$B$4+F14*$D$4</f>
        <v>55.24</v>
      </c>
      <c r="G15" s="5" t="s">
        <v>138</v>
      </c>
    </row>
    <row r="18" customFormat="false" ht="15" hidden="false" customHeight="false" outlineLevel="0" collapsed="false">
      <c r="A18" s="9" t="s">
        <v>139</v>
      </c>
    </row>
    <row r="19" customFormat="false" ht="15" hidden="false" customHeight="false" outlineLevel="0" collapsed="false">
      <c r="A19" s="3" t="s">
        <v>102</v>
      </c>
      <c r="B19" s="3" t="s">
        <v>140</v>
      </c>
      <c r="C19" s="3" t="s">
        <v>141</v>
      </c>
      <c r="D19" s="3" t="s">
        <v>142</v>
      </c>
      <c r="E19" s="3" t="s">
        <v>143</v>
      </c>
    </row>
    <row r="20" customFormat="false" ht="15" hidden="false" customHeight="false" outlineLevel="0" collapsed="false">
      <c r="A20" s="23" t="n">
        <v>1</v>
      </c>
      <c r="B20" s="10" t="str">
        <f aca="false">"μ ± "&amp;A20&amp;"σ"</f>
        <v>μ ± 1σ</v>
      </c>
      <c r="C20" s="30" t="n">
        <f aca="false">$B$4-A20*$D$4</f>
        <v>37</v>
      </c>
      <c r="D20" s="30" t="n">
        <f aca="false">$B$4+A20*$D$4</f>
        <v>53</v>
      </c>
      <c r="E20" s="26" t="n">
        <f aca="false">NORMSDIST(A20)-NORMSDIST(-A20)</f>
        <v>0.682689492137086</v>
      </c>
    </row>
    <row r="21" customFormat="false" ht="15" hidden="false" customHeight="false" outlineLevel="0" collapsed="false">
      <c r="A21" s="23" t="n">
        <v>2</v>
      </c>
      <c r="B21" s="10" t="str">
        <f aca="false">"μ ± "&amp;A21&amp;"σ"</f>
        <v>μ ± 2σ</v>
      </c>
      <c r="C21" s="30" t="n">
        <f aca="false">$B$4-A21*$D$4</f>
        <v>29</v>
      </c>
      <c r="D21" s="30" t="n">
        <f aca="false">$B$4+A21*$D$4</f>
        <v>61</v>
      </c>
      <c r="E21" s="26" t="n">
        <f aca="false">NORMSDIST(A21)-NORMSDIST(-A21)</f>
        <v>0.954499736103642</v>
      </c>
    </row>
    <row r="22" customFormat="false" ht="15" hidden="false" customHeight="false" outlineLevel="0" collapsed="false">
      <c r="A22" s="23" t="n">
        <v>3</v>
      </c>
      <c r="B22" s="10" t="str">
        <f aca="false">"μ ± "&amp;A22&amp;"σ"</f>
        <v>μ ± 3σ</v>
      </c>
      <c r="C22" s="30" t="n">
        <f aca="false">$B$4-A22*$D$4</f>
        <v>21</v>
      </c>
      <c r="D22" s="30" t="n">
        <f aca="false">$B$4+A22*$D$4</f>
        <v>69</v>
      </c>
      <c r="E22" s="26" t="n">
        <f aca="false">NORMSDIST(A22)-NORMSDIST(-A22)</f>
        <v>0.99730020393674</v>
      </c>
    </row>
    <row r="26" customFormat="false" ht="15" hidden="false" customHeight="false" outlineLevel="0" collapsed="false">
      <c r="A26" s="9" t="s">
        <v>144</v>
      </c>
    </row>
    <row r="27" customFormat="false" ht="15" hidden="false" customHeight="false" outlineLevel="0" collapsed="false">
      <c r="A27" s="3" t="s">
        <v>145</v>
      </c>
      <c r="B27" s="3" t="s">
        <v>146</v>
      </c>
      <c r="C27" s="3" t="s">
        <v>147</v>
      </c>
      <c r="D27" s="3" t="s">
        <v>148</v>
      </c>
      <c r="E27" s="3" t="s">
        <v>149</v>
      </c>
      <c r="F27" s="3" t="s">
        <v>150</v>
      </c>
    </row>
    <row r="28" customFormat="false" ht="15" hidden="false" customHeight="false" outlineLevel="0" collapsed="false">
      <c r="A28" s="23" t="n">
        <v>21</v>
      </c>
      <c r="B28" s="30" t="n">
        <f aca="false">(A28-$B$4)/$D$4</f>
        <v>-3</v>
      </c>
      <c r="C28" s="25" t="n">
        <f aca="false">NORMDIST(A28,$B$4,$D$4,FALSE())</f>
        <v>0.000553981051492251</v>
      </c>
      <c r="D28" s="25" t="n">
        <f aca="false">IF(A28&lt;=Parámetros!$B$13,C28,0)</f>
        <v>0.000553981051492251</v>
      </c>
      <c r="E28" s="25" t="n">
        <f aca="false">IF(AND(A28&gt;=Parámetros!$B$13,A28&lt;=Parámetros!$B$14),C28,0)</f>
        <v>0</v>
      </c>
      <c r="F28" s="25" t="n">
        <f aca="false">IF(A28&gt;=Parámetros!$B$14,C28,0)</f>
        <v>0</v>
      </c>
    </row>
    <row r="29" customFormat="false" ht="15" hidden="false" customHeight="false" outlineLevel="0" collapsed="false">
      <c r="A29" s="23" t="n">
        <v>22</v>
      </c>
      <c r="B29" s="30" t="n">
        <f aca="false">(A29-$B$4)/$D$4</f>
        <v>-2.875</v>
      </c>
      <c r="C29" s="25" t="n">
        <f aca="false">NORMDIST(A29,$B$4,$D$4,FALSE())</f>
        <v>0.000799765038840445</v>
      </c>
      <c r="D29" s="25" t="n">
        <f aca="false">IF(A29&lt;=Parámetros!$B$13,C29,0)</f>
        <v>0.000799765038840445</v>
      </c>
      <c r="E29" s="25" t="n">
        <f aca="false">IF(AND(A29&gt;=Parámetros!$B$13,A29&lt;=Parámetros!$B$14),C29,0)</f>
        <v>0</v>
      </c>
      <c r="F29" s="25" t="n">
        <f aca="false">IF(A29&gt;=Parámetros!$B$14,C29,0)</f>
        <v>0</v>
      </c>
    </row>
    <row r="30" customFormat="false" ht="15" hidden="false" customHeight="false" outlineLevel="0" collapsed="false">
      <c r="A30" s="23" t="n">
        <v>23</v>
      </c>
      <c r="B30" s="30" t="n">
        <f aca="false">(A30-$B$4)/$D$4</f>
        <v>-2.75</v>
      </c>
      <c r="C30" s="25" t="n">
        <f aca="false">NORMDIST(A30,$B$4,$D$4,FALSE())</f>
        <v>0.00113669531269888</v>
      </c>
      <c r="D30" s="25" t="n">
        <f aca="false">IF(A30&lt;=Parámetros!$B$13,C30,0)</f>
        <v>0.00113669531269888</v>
      </c>
      <c r="E30" s="25" t="n">
        <f aca="false">IF(AND(A30&gt;=Parámetros!$B$13,A30&lt;=Parámetros!$B$14),C30,0)</f>
        <v>0</v>
      </c>
      <c r="F30" s="25" t="n">
        <f aca="false">IF(A30&gt;=Parámetros!$B$14,C30,0)</f>
        <v>0</v>
      </c>
    </row>
    <row r="31" customFormat="false" ht="15" hidden="false" customHeight="false" outlineLevel="0" collapsed="false">
      <c r="A31" s="23" t="n">
        <v>24</v>
      </c>
      <c r="B31" s="30" t="n">
        <f aca="false">(A31-$B$4)/$D$4</f>
        <v>-2.625</v>
      </c>
      <c r="C31" s="25" t="n">
        <f aca="false">NORMDIST(A31,$B$4,$D$4,FALSE())</f>
        <v>0.00159052269960393</v>
      </c>
      <c r="D31" s="25" t="n">
        <f aca="false">IF(A31&lt;=Parámetros!$B$13,C31,0)</f>
        <v>0.00159052269960393</v>
      </c>
      <c r="E31" s="25" t="n">
        <f aca="false">IF(AND(A31&gt;=Parámetros!$B$13,A31&lt;=Parámetros!$B$14),C31,0)</f>
        <v>0</v>
      </c>
      <c r="F31" s="25" t="n">
        <f aca="false">IF(A31&gt;=Parámetros!$B$14,C31,0)</f>
        <v>0</v>
      </c>
    </row>
    <row r="32" customFormat="false" ht="15" hidden="false" customHeight="false" outlineLevel="0" collapsed="false">
      <c r="A32" s="23" t="n">
        <v>25</v>
      </c>
      <c r="B32" s="30" t="n">
        <f aca="false">(A32-$B$4)/$D$4</f>
        <v>-2.5</v>
      </c>
      <c r="C32" s="25" t="n">
        <f aca="false">NORMDIST(A32,$B$4,$D$4,FALSE())</f>
        <v>0.00219103756169607</v>
      </c>
      <c r="D32" s="25" t="n">
        <f aca="false">IF(A32&lt;=Parámetros!$B$13,C32,0)</f>
        <v>0.00219103756169607</v>
      </c>
      <c r="E32" s="25" t="n">
        <f aca="false">IF(AND(A32&gt;=Parámetros!$B$13,A32&lt;=Parámetros!$B$14),C32,0)</f>
        <v>0</v>
      </c>
      <c r="F32" s="25" t="n">
        <f aca="false">IF(A32&gt;=Parámetros!$B$14,C32,0)</f>
        <v>0</v>
      </c>
    </row>
    <row r="33" customFormat="false" ht="15" hidden="false" customHeight="false" outlineLevel="0" collapsed="false">
      <c r="A33" s="23" t="n">
        <v>26</v>
      </c>
      <c r="B33" s="30" t="n">
        <f aca="false">(A33-$B$4)/$D$4</f>
        <v>-2.375</v>
      </c>
      <c r="C33" s="25" t="n">
        <f aca="false">NORMDIST(A33,$B$4,$D$4,FALSE())</f>
        <v>0.00297148760373923</v>
      </c>
      <c r="D33" s="25" t="n">
        <f aca="false">IF(A33&lt;=Parámetros!$B$13,C33,0)</f>
        <v>0.00297148760373923</v>
      </c>
      <c r="E33" s="25" t="n">
        <f aca="false">IF(AND(A33&gt;=Parámetros!$B$13,A33&lt;=Parámetros!$B$14),C33,0)</f>
        <v>0</v>
      </c>
      <c r="F33" s="25" t="n">
        <f aca="false">IF(A33&gt;=Parámetros!$B$14,C33,0)</f>
        <v>0</v>
      </c>
    </row>
    <row r="34" customFormat="false" ht="15" hidden="false" customHeight="false" outlineLevel="0" collapsed="false">
      <c r="A34" s="23" t="n">
        <v>27</v>
      </c>
      <c r="B34" s="30" t="n">
        <f aca="false">(A34-$B$4)/$D$4</f>
        <v>-2.25</v>
      </c>
      <c r="C34" s="25" t="n">
        <f aca="false">NORMDIST(A34,$B$4,$D$4,FALSE())</f>
        <v>0.00396745647945843</v>
      </c>
      <c r="D34" s="25" t="n">
        <f aca="false">IF(A34&lt;=Parámetros!$B$13,C34,0)</f>
        <v>0.00396745647945843</v>
      </c>
      <c r="E34" s="25" t="n">
        <f aca="false">IF(AND(A34&gt;=Parámetros!$B$13,A34&lt;=Parámetros!$B$14),C34,0)</f>
        <v>0</v>
      </c>
      <c r="F34" s="25" t="n">
        <f aca="false">IF(A34&gt;=Parámetros!$B$14,C34,0)</f>
        <v>0</v>
      </c>
    </row>
    <row r="35" customFormat="false" ht="15" hidden="false" customHeight="false" outlineLevel="0" collapsed="false">
      <c r="A35" s="23" t="n">
        <v>28</v>
      </c>
      <c r="B35" s="30" t="n">
        <f aca="false">(A35-$B$4)/$D$4</f>
        <v>-2.125</v>
      </c>
      <c r="C35" s="25" t="n">
        <f aca="false">NORMDIST(A35,$B$4,$D$4,FALSE())</f>
        <v>0.00521512315704233</v>
      </c>
      <c r="D35" s="25" t="n">
        <f aca="false">IF(A35&lt;=Parámetros!$B$13,C35,0)</f>
        <v>0.00521512315704233</v>
      </c>
      <c r="E35" s="25" t="n">
        <f aca="false">IF(AND(A35&gt;=Parámetros!$B$13,A35&lt;=Parámetros!$B$14),C35,0)</f>
        <v>0</v>
      </c>
      <c r="F35" s="25" t="n">
        <f aca="false">IF(A35&gt;=Parámetros!$B$14,C35,0)</f>
        <v>0</v>
      </c>
    </row>
    <row r="36" customFormat="false" ht="15" hidden="false" customHeight="false" outlineLevel="0" collapsed="false">
      <c r="A36" s="23" t="n">
        <v>29</v>
      </c>
      <c r="B36" s="30" t="n">
        <f aca="false">(A36-$B$4)/$D$4</f>
        <v>-2</v>
      </c>
      <c r="C36" s="25" t="n">
        <f aca="false">NORMDIST(A36,$B$4,$D$4,FALSE())</f>
        <v>0.00674887081414851</v>
      </c>
      <c r="D36" s="25" t="n">
        <f aca="false">IF(A36&lt;=Parámetros!$B$13,C36,0)</f>
        <v>0.00674887081414851</v>
      </c>
      <c r="E36" s="25" t="n">
        <f aca="false">IF(AND(A36&gt;=Parámetros!$B$13,A36&lt;=Parámetros!$B$14),C36,0)</f>
        <v>0</v>
      </c>
      <c r="F36" s="25" t="n">
        <f aca="false">IF(A36&gt;=Parámetros!$B$14,C36,0)</f>
        <v>0</v>
      </c>
    </row>
    <row r="37" customFormat="false" ht="15" hidden="false" customHeight="false" outlineLevel="0" collapsed="false">
      <c r="A37" s="23" t="n">
        <v>30</v>
      </c>
      <c r="B37" s="30" t="n">
        <f aca="false">(A37-$B$4)/$D$4</f>
        <v>-1.875</v>
      </c>
      <c r="C37" s="25" t="n">
        <f aca="false">NORMDIST(A37,$B$4,$D$4,FALSE())</f>
        <v>0.00859828447833649</v>
      </c>
      <c r="D37" s="25" t="n">
        <f aca="false">IF(A37&lt;=Parámetros!$B$13,C37,0)</f>
        <v>0.00859828447833649</v>
      </c>
      <c r="E37" s="25" t="n">
        <f aca="false">IF(AND(A37&gt;=Parámetros!$B$13,A37&lt;=Parámetros!$B$14),C37,0)</f>
        <v>0</v>
      </c>
      <c r="F37" s="25" t="n">
        <f aca="false">IF(A37&gt;=Parámetros!$B$14,C37,0)</f>
        <v>0</v>
      </c>
    </row>
    <row r="38" customFormat="false" ht="15" hidden="false" customHeight="false" outlineLevel="0" collapsed="false">
      <c r="A38" s="23" t="n">
        <v>31</v>
      </c>
      <c r="B38" s="30" t="n">
        <f aca="false">(A38-$B$4)/$D$4</f>
        <v>-1.75</v>
      </c>
      <c r="C38" s="25" t="n">
        <f aca="false">NORMDIST(A38,$B$4,$D$4,FALSE())</f>
        <v>0.0107846648533139</v>
      </c>
      <c r="D38" s="25" t="n">
        <f aca="false">IF(A38&lt;=Parámetros!$B$13,C38,0)</f>
        <v>0.0107846648533139</v>
      </c>
      <c r="E38" s="25" t="n">
        <f aca="false">IF(AND(A38&gt;=Parámetros!$B$13,A38&lt;=Parámetros!$B$14),C38,0)</f>
        <v>0</v>
      </c>
      <c r="F38" s="25" t="n">
        <f aca="false">IF(A38&gt;=Parámetros!$B$14,C38,0)</f>
        <v>0</v>
      </c>
    </row>
    <row r="39" customFormat="false" ht="15" hidden="false" customHeight="false" outlineLevel="0" collapsed="false">
      <c r="A39" s="23" t="n">
        <v>32</v>
      </c>
      <c r="B39" s="30" t="n">
        <f aca="false">(A39-$B$4)/$D$4</f>
        <v>-1.625</v>
      </c>
      <c r="C39" s="25" t="n">
        <f aca="false">NORMDIST(A39,$B$4,$D$4,FALSE())</f>
        <v>0.0133172835163231</v>
      </c>
      <c r="D39" s="25" t="n">
        <f aca="false">IF(A39&lt;=Parámetros!$B$13,C39,0)</f>
        <v>0.0133172835163231</v>
      </c>
      <c r="E39" s="25" t="n">
        <f aca="false">IF(AND(A39&gt;=Parámetros!$B$13,A39&lt;=Parámetros!$B$14),C39,0)</f>
        <v>0</v>
      </c>
      <c r="F39" s="25" t="n">
        <f aca="false">IF(A39&gt;=Parámetros!$B$14,C39,0)</f>
        <v>0</v>
      </c>
    </row>
    <row r="40" customFormat="false" ht="15" hidden="false" customHeight="false" outlineLevel="0" collapsed="false">
      <c r="A40" s="23" t="n">
        <v>33</v>
      </c>
      <c r="B40" s="30" t="n">
        <f aca="false">(A40-$B$4)/$D$4</f>
        <v>-1.5</v>
      </c>
      <c r="C40" s="25" t="n">
        <f aca="false">NORMDIST(A40,$B$4,$D$4,FALSE())</f>
        <v>0.0161896994582365</v>
      </c>
      <c r="D40" s="25" t="n">
        <f aca="false">IF(A40&lt;=Parámetros!$B$13,C40,0)</f>
        <v>0.0161896994582365</v>
      </c>
      <c r="E40" s="25" t="n">
        <f aca="false">IF(AND(A40&gt;=Parámetros!$B$13,A40&lt;=Parámetros!$B$14),C40,0)</f>
        <v>0</v>
      </c>
      <c r="F40" s="25" t="n">
        <f aca="false">IF(A40&gt;=Parámetros!$B$14,C40,0)</f>
        <v>0</v>
      </c>
    </row>
    <row r="41" customFormat="false" ht="15" hidden="false" customHeight="false" outlineLevel="0" collapsed="false">
      <c r="A41" s="23" t="n">
        <v>34</v>
      </c>
      <c r="B41" s="30" t="n">
        <f aca="false">(A41-$B$4)/$D$4</f>
        <v>-1.375</v>
      </c>
      <c r="C41" s="25" t="n">
        <f aca="false">NORMDIST(A41,$B$4,$D$4,FALSE())</f>
        <v>0.0193765331822867</v>
      </c>
      <c r="D41" s="25" t="n">
        <f aca="false">IF(A41&lt;=Parámetros!$B$13,C41,0)</f>
        <v>0.0193765331822867</v>
      </c>
      <c r="E41" s="25" t="n">
        <f aca="false">IF(AND(A41&gt;=Parámetros!$B$13,A41&lt;=Parámetros!$B$14),C41,0)</f>
        <v>0</v>
      </c>
      <c r="F41" s="25" t="n">
        <f aca="false">IF(A41&gt;=Parámetros!$B$14,C41,0)</f>
        <v>0</v>
      </c>
    </row>
    <row r="42" customFormat="false" ht="15" hidden="false" customHeight="false" outlineLevel="0" collapsed="false">
      <c r="A42" s="23" t="n">
        <v>35</v>
      </c>
      <c r="B42" s="30" t="n">
        <f aca="false">(A42-$B$4)/$D$4</f>
        <v>-1.25</v>
      </c>
      <c r="C42" s="25" t="n">
        <f aca="false">NORMDIST(A42,$B$4,$D$4,FALSE())</f>
        <v>0.0228311356736277</v>
      </c>
      <c r="D42" s="25" t="n">
        <f aca="false">IF(A42&lt;=Parámetros!$B$13,C42,0)</f>
        <v>0.0228311356736277</v>
      </c>
      <c r="E42" s="25" t="n">
        <f aca="false">IF(AND(A42&gt;=Parámetros!$B$13,A42&lt;=Parámetros!$B$14),C42,0)</f>
        <v>0</v>
      </c>
      <c r="F42" s="25" t="n">
        <f aca="false">IF(A42&gt;=Parámetros!$B$14,C42,0)</f>
        <v>0</v>
      </c>
    </row>
    <row r="43" customFormat="false" ht="15" hidden="false" customHeight="false" outlineLevel="0" collapsed="false">
      <c r="A43" s="23" t="n">
        <v>36</v>
      </c>
      <c r="B43" s="30" t="n">
        <f aca="false">(A43-$B$4)/$D$4</f>
        <v>-1.125</v>
      </c>
      <c r="C43" s="25" t="n">
        <f aca="false">NORMDIST(A43,$B$4,$D$4,FALSE())</f>
        <v>0.0264845807219624</v>
      </c>
      <c r="D43" s="25" t="n">
        <f aca="false">IF(A43&lt;=Parámetros!$B$13,C43,0)</f>
        <v>0.0264845807219624</v>
      </c>
      <c r="E43" s="25" t="n">
        <f aca="false">IF(AND(A43&gt;=Parámetros!$B$13,A43&lt;=Parámetros!$B$14),C43,0)</f>
        <v>0</v>
      </c>
      <c r="F43" s="25" t="n">
        <f aca="false">IF(A43&gt;=Parámetros!$B$14,C43,0)</f>
        <v>0</v>
      </c>
    </row>
    <row r="44" customFormat="false" ht="15" hidden="false" customHeight="false" outlineLevel="0" collapsed="false">
      <c r="A44" s="23" t="n">
        <v>37</v>
      </c>
      <c r="B44" s="30" t="n">
        <f aca="false">(A44-$B$4)/$D$4</f>
        <v>-1</v>
      </c>
      <c r="C44" s="25" t="n">
        <f aca="false">NORMDIST(A44,$B$4,$D$4,FALSE())</f>
        <v>0.0302463405648929</v>
      </c>
      <c r="D44" s="25" t="n">
        <f aca="false">IF(A44&lt;=Parámetros!$B$13,C44,0)</f>
        <v>0.0302463405648929</v>
      </c>
      <c r="E44" s="25" t="n">
        <f aca="false">IF(AND(A44&gt;=Parámetros!$B$13,A44&lt;=Parámetros!$B$14),C44,0)</f>
        <v>0.0302463405648929</v>
      </c>
      <c r="F44" s="25" t="n">
        <f aca="false">IF(A44&gt;=Parámetros!$B$14,C44,0)</f>
        <v>0</v>
      </c>
    </row>
    <row r="45" customFormat="false" ht="15" hidden="false" customHeight="false" outlineLevel="0" collapsed="false">
      <c r="A45" s="23" t="n">
        <v>38</v>
      </c>
      <c r="B45" s="30" t="n">
        <f aca="false">(A45-$B$4)/$D$4</f>
        <v>-0.875</v>
      </c>
      <c r="C45" s="25" t="n">
        <f aca="false">NORMDIST(A45,$B$4,$D$4,FALSE())</f>
        <v>0.0340068747973179</v>
      </c>
      <c r="D45" s="25" t="n">
        <f aca="false">IF(A45&lt;=Parámetros!$B$13,C45,0)</f>
        <v>0</v>
      </c>
      <c r="E45" s="25" t="n">
        <f aca="false">IF(AND(A45&gt;=Parámetros!$B$13,A45&lt;=Parámetros!$B$14),C45,0)</f>
        <v>0.0340068747973179</v>
      </c>
      <c r="F45" s="25" t="n">
        <f aca="false">IF(A45&gt;=Parámetros!$B$14,C45,0)</f>
        <v>0</v>
      </c>
    </row>
    <row r="46" customFormat="false" ht="15" hidden="false" customHeight="false" outlineLevel="0" collapsed="false">
      <c r="A46" s="23" t="n">
        <v>39</v>
      </c>
      <c r="B46" s="30" t="n">
        <f aca="false">(A46-$B$4)/$D$4</f>
        <v>-0.75</v>
      </c>
      <c r="C46" s="25" t="n">
        <f aca="false">NORMDIST(A46,$B$4,$D$4,FALSE())</f>
        <v>0.0376421790193506</v>
      </c>
      <c r="D46" s="25" t="n">
        <f aca="false">IF(A46&lt;=Parámetros!$B$13,C46,0)</f>
        <v>0</v>
      </c>
      <c r="E46" s="25" t="n">
        <f aca="false">IF(AND(A46&gt;=Parámetros!$B$13,A46&lt;=Parámetros!$B$14),C46,0)</f>
        <v>0.0376421790193506</v>
      </c>
      <c r="F46" s="25" t="n">
        <f aca="false">IF(A46&gt;=Parámetros!$B$14,C46,0)</f>
        <v>0</v>
      </c>
    </row>
    <row r="47" customFormat="false" ht="15" hidden="false" customHeight="false" outlineLevel="0" collapsed="false">
      <c r="A47" s="23" t="n">
        <v>40</v>
      </c>
      <c r="B47" s="30" t="n">
        <f aca="false">(A47-$B$4)/$D$4</f>
        <v>-0.625</v>
      </c>
      <c r="C47" s="25" t="n">
        <f aca="false">NORMDIST(A47,$B$4,$D$4,FALSE())</f>
        <v>0.0410201210687969</v>
      </c>
      <c r="D47" s="25" t="n">
        <f aca="false">IF(A47&lt;=Parámetros!$B$13,C47,0)</f>
        <v>0</v>
      </c>
      <c r="E47" s="25" t="n">
        <f aca="false">IF(AND(A47&gt;=Parámetros!$B$13,A47&lt;=Parámetros!$B$14),C47,0)</f>
        <v>0.0410201210687969</v>
      </c>
      <c r="F47" s="25" t="n">
        <f aca="false">IF(A47&gt;=Parámetros!$B$14,C47,0)</f>
        <v>0</v>
      </c>
    </row>
    <row r="48" customFormat="false" ht="15" hidden="false" customHeight="false" outlineLevel="0" collapsed="false">
      <c r="A48" s="23" t="n">
        <v>41</v>
      </c>
      <c r="B48" s="30" t="n">
        <f aca="false">(A48-$B$4)/$D$4</f>
        <v>-0.5</v>
      </c>
      <c r="C48" s="25" t="n">
        <f aca="false">NORMDIST(A48,$B$4,$D$4,FALSE())</f>
        <v>0.0440081658455374</v>
      </c>
      <c r="D48" s="25" t="n">
        <f aca="false">IF(A48&lt;=Parámetros!$B$13,C48,0)</f>
        <v>0</v>
      </c>
      <c r="E48" s="25" t="n">
        <f aca="false">IF(AND(A48&gt;=Parámetros!$B$13,A48&lt;=Parámetros!$B$14),C48,0)</f>
        <v>0.0440081658455374</v>
      </c>
      <c r="F48" s="25" t="n">
        <f aca="false">IF(A48&gt;=Parámetros!$B$14,C48,0)</f>
        <v>0</v>
      </c>
    </row>
    <row r="49" customFormat="false" ht="15" hidden="false" customHeight="false" outlineLevel="0" collapsed="false">
      <c r="A49" s="23" t="n">
        <v>42</v>
      </c>
      <c r="B49" s="30" t="n">
        <f aca="false">(A49-$B$4)/$D$4</f>
        <v>-0.375</v>
      </c>
      <c r="C49" s="25" t="n">
        <f aca="false">NORMDIST(A49,$B$4,$D$4,FALSE())</f>
        <v>0.0464818867337211</v>
      </c>
      <c r="D49" s="25" t="n">
        <f aca="false">IF(A49&lt;=Parámetros!$B$13,C49,0)</f>
        <v>0</v>
      </c>
      <c r="E49" s="25" t="n">
        <f aca="false">IF(AND(A49&gt;=Parámetros!$B$13,A49&lt;=Parámetros!$B$14),C49,0)</f>
        <v>0.0464818867337211</v>
      </c>
      <c r="F49" s="25" t="n">
        <f aca="false">IF(A49&gt;=Parámetros!$B$14,C49,0)</f>
        <v>0</v>
      </c>
    </row>
    <row r="50" customFormat="false" ht="15" hidden="false" customHeight="false" outlineLevel="0" collapsed="false">
      <c r="A50" s="23" t="n">
        <v>43</v>
      </c>
      <c r="B50" s="30" t="n">
        <f aca="false">(A50-$B$4)/$D$4</f>
        <v>-0.25</v>
      </c>
      <c r="C50" s="25" t="n">
        <f aca="false">NORMDIST(A50,$B$4,$D$4,FALSE())</f>
        <v>0.0483335146003562</v>
      </c>
      <c r="D50" s="25" t="n">
        <f aca="false">IF(A50&lt;=Parámetros!$B$13,C50,0)</f>
        <v>0</v>
      </c>
      <c r="E50" s="25" t="n">
        <f aca="false">IF(AND(A50&gt;=Parámetros!$B$13,A50&lt;=Parámetros!$B$14),C50,0)</f>
        <v>0.0483335146003562</v>
      </c>
      <c r="F50" s="25" t="n">
        <f aca="false">IF(A50&gt;=Parámetros!$B$14,C50,0)</f>
        <v>0</v>
      </c>
    </row>
    <row r="51" customFormat="false" ht="15" hidden="false" customHeight="false" outlineLevel="0" collapsed="false">
      <c r="A51" s="23" t="n">
        <v>44</v>
      </c>
      <c r="B51" s="30" t="n">
        <f aca="false">(A51-$B$4)/$D$4</f>
        <v>-0.125</v>
      </c>
      <c r="C51" s="25" t="n">
        <f aca="false">NORMDIST(A51,$B$4,$D$4,FALSE())</f>
        <v>0.0494797108680937</v>
      </c>
      <c r="D51" s="25" t="n">
        <f aca="false">IF(A51&lt;=Parámetros!$B$13,C51,0)</f>
        <v>0</v>
      </c>
      <c r="E51" s="25" t="n">
        <f aca="false">IF(AND(A51&gt;=Parámetros!$B$13,A51&lt;=Parámetros!$B$14),C51,0)</f>
        <v>0.0494797108680937</v>
      </c>
      <c r="F51" s="25" t="n">
        <f aca="false">IF(A51&gt;=Parámetros!$B$14,C51,0)</f>
        <v>0</v>
      </c>
    </row>
    <row r="52" customFormat="false" ht="15" hidden="false" customHeight="false" outlineLevel="0" collapsed="false">
      <c r="A52" s="23" t="n">
        <v>45</v>
      </c>
      <c r="B52" s="30" t="n">
        <f aca="false">(A52-$B$4)/$D$4</f>
        <v>0</v>
      </c>
      <c r="C52" s="25" t="n">
        <f aca="false">NORMDIST(A52,$B$4,$D$4,FALSE())</f>
        <v>0.0498677850501791</v>
      </c>
      <c r="D52" s="25" t="n">
        <f aca="false">IF(A52&lt;=Parámetros!$B$13,C52,0)</f>
        <v>0</v>
      </c>
      <c r="E52" s="25" t="n">
        <f aca="false">IF(AND(A52&gt;=Parámetros!$B$13,A52&lt;=Parámetros!$B$14),C52,0)</f>
        <v>0.0498677850501791</v>
      </c>
      <c r="F52" s="25" t="n">
        <f aca="false">IF(A52&gt;=Parámetros!$B$14,C52,0)</f>
        <v>0</v>
      </c>
    </row>
    <row r="53" customFormat="false" ht="15" hidden="false" customHeight="false" outlineLevel="0" collapsed="false">
      <c r="A53" s="23" t="n">
        <v>46</v>
      </c>
      <c r="B53" s="30" t="n">
        <f aca="false">(A53-$B$4)/$D$4</f>
        <v>0.125</v>
      </c>
      <c r="C53" s="25" t="n">
        <f aca="false">NORMDIST(A53,$B$4,$D$4,FALSE())</f>
        <v>0.0494797108680937</v>
      </c>
      <c r="D53" s="25" t="n">
        <f aca="false">IF(A53&lt;=Parámetros!$B$13,C53,0)</f>
        <v>0</v>
      </c>
      <c r="E53" s="25" t="n">
        <f aca="false">IF(AND(A53&gt;=Parámetros!$B$13,A53&lt;=Parámetros!$B$14),C53,0)</f>
        <v>0.0494797108680937</v>
      </c>
      <c r="F53" s="25" t="n">
        <f aca="false">IF(A53&gt;=Parámetros!$B$14,C53,0)</f>
        <v>0</v>
      </c>
    </row>
    <row r="54" customFormat="false" ht="15" hidden="false" customHeight="false" outlineLevel="0" collapsed="false">
      <c r="A54" s="23" t="n">
        <v>47</v>
      </c>
      <c r="B54" s="30" t="n">
        <f aca="false">(A54-$B$4)/$D$4</f>
        <v>0.25</v>
      </c>
      <c r="C54" s="25" t="n">
        <f aca="false">NORMDIST(A54,$B$4,$D$4,FALSE())</f>
        <v>0.0483335146003562</v>
      </c>
      <c r="D54" s="25" t="n">
        <f aca="false">IF(A54&lt;=Parámetros!$B$13,C54,0)</f>
        <v>0</v>
      </c>
      <c r="E54" s="25" t="n">
        <f aca="false">IF(AND(A54&gt;=Parámetros!$B$13,A54&lt;=Parámetros!$B$14),C54,0)</f>
        <v>0.0483335146003562</v>
      </c>
      <c r="F54" s="25" t="n">
        <f aca="false">IF(A54&gt;=Parámetros!$B$14,C54,0)</f>
        <v>0</v>
      </c>
    </row>
    <row r="55" customFormat="false" ht="15" hidden="false" customHeight="false" outlineLevel="0" collapsed="false">
      <c r="A55" s="23" t="n">
        <v>48</v>
      </c>
      <c r="B55" s="30" t="n">
        <f aca="false">(A55-$B$4)/$D$4</f>
        <v>0.375</v>
      </c>
      <c r="C55" s="25" t="n">
        <f aca="false">NORMDIST(A55,$B$4,$D$4,FALSE())</f>
        <v>0.0464818867337211</v>
      </c>
      <c r="D55" s="25" t="n">
        <f aca="false">IF(A55&lt;=Parámetros!$B$13,C55,0)</f>
        <v>0</v>
      </c>
      <c r="E55" s="25" t="n">
        <f aca="false">IF(AND(A55&gt;=Parámetros!$B$13,A55&lt;=Parámetros!$B$14),C55,0)</f>
        <v>0.0464818867337211</v>
      </c>
      <c r="F55" s="25" t="n">
        <f aca="false">IF(A55&gt;=Parámetros!$B$14,C55,0)</f>
        <v>0</v>
      </c>
    </row>
    <row r="56" customFormat="false" ht="15" hidden="false" customHeight="false" outlineLevel="0" collapsed="false">
      <c r="A56" s="23" t="n">
        <v>49</v>
      </c>
      <c r="B56" s="30" t="n">
        <f aca="false">(A56-$B$4)/$D$4</f>
        <v>0.5</v>
      </c>
      <c r="C56" s="25" t="n">
        <f aca="false">NORMDIST(A56,$B$4,$D$4,FALSE())</f>
        <v>0.0440081658455374</v>
      </c>
      <c r="D56" s="25" t="n">
        <f aca="false">IF(A56&lt;=Parámetros!$B$13,C56,0)</f>
        <v>0</v>
      </c>
      <c r="E56" s="25" t="n">
        <f aca="false">IF(AND(A56&gt;=Parámetros!$B$13,A56&lt;=Parámetros!$B$14),C56,0)</f>
        <v>0.0440081658455374</v>
      </c>
      <c r="F56" s="25" t="n">
        <f aca="false">IF(A56&gt;=Parámetros!$B$14,C56,0)</f>
        <v>0</v>
      </c>
    </row>
    <row r="57" customFormat="false" ht="15" hidden="false" customHeight="false" outlineLevel="0" collapsed="false">
      <c r="A57" s="23" t="n">
        <v>50</v>
      </c>
      <c r="B57" s="30" t="n">
        <f aca="false">(A57-$B$4)/$D$4</f>
        <v>0.625</v>
      </c>
      <c r="C57" s="25" t="n">
        <f aca="false">NORMDIST(A57,$B$4,$D$4,FALSE())</f>
        <v>0.0410201210687969</v>
      </c>
      <c r="D57" s="25" t="n">
        <f aca="false">IF(A57&lt;=Parámetros!$B$13,C57,0)</f>
        <v>0</v>
      </c>
      <c r="E57" s="25" t="n">
        <f aca="false">IF(AND(A57&gt;=Parámetros!$B$13,A57&lt;=Parámetros!$B$14),C57,0)</f>
        <v>0.0410201210687969</v>
      </c>
      <c r="F57" s="25" t="n">
        <f aca="false">IF(A57&gt;=Parámetros!$B$14,C57,0)</f>
        <v>0</v>
      </c>
    </row>
    <row r="58" customFormat="false" ht="15" hidden="false" customHeight="false" outlineLevel="0" collapsed="false">
      <c r="A58" s="23" t="n">
        <v>51</v>
      </c>
      <c r="B58" s="30" t="n">
        <f aca="false">(A58-$B$4)/$D$4</f>
        <v>0.75</v>
      </c>
      <c r="C58" s="25" t="n">
        <f aca="false">NORMDIST(A58,$B$4,$D$4,FALSE())</f>
        <v>0.0376421790193506</v>
      </c>
      <c r="D58" s="25" t="n">
        <f aca="false">IF(A58&lt;=Parámetros!$B$13,C58,0)</f>
        <v>0</v>
      </c>
      <c r="E58" s="25" t="n">
        <f aca="false">IF(AND(A58&gt;=Parámetros!$B$13,A58&lt;=Parámetros!$B$14),C58,0)</f>
        <v>0.0376421790193506</v>
      </c>
      <c r="F58" s="25" t="n">
        <f aca="false">IF(A58&gt;=Parámetros!$B$14,C58,0)</f>
        <v>0</v>
      </c>
    </row>
    <row r="59" customFormat="false" ht="15" hidden="false" customHeight="false" outlineLevel="0" collapsed="false">
      <c r="A59" s="23" t="n">
        <v>52</v>
      </c>
      <c r="B59" s="30" t="n">
        <f aca="false">(A59-$B$4)/$D$4</f>
        <v>0.875</v>
      </c>
      <c r="C59" s="25" t="n">
        <f aca="false">NORMDIST(A59,$B$4,$D$4,FALSE())</f>
        <v>0.0340068747973179</v>
      </c>
      <c r="D59" s="25" t="n">
        <f aca="false">IF(A59&lt;=Parámetros!$B$13,C59,0)</f>
        <v>0</v>
      </c>
      <c r="E59" s="25" t="n">
        <f aca="false">IF(AND(A59&gt;=Parámetros!$B$13,A59&lt;=Parámetros!$B$14),C59,0)</f>
        <v>0.0340068747973179</v>
      </c>
      <c r="F59" s="25" t="n">
        <f aca="false">IF(A59&gt;=Parámetros!$B$14,C59,0)</f>
        <v>0</v>
      </c>
    </row>
    <row r="60" customFormat="false" ht="15" hidden="false" customHeight="false" outlineLevel="0" collapsed="false">
      <c r="A60" s="23" t="n">
        <v>53</v>
      </c>
      <c r="B60" s="30" t="n">
        <f aca="false">(A60-$B$4)/$D$4</f>
        <v>1</v>
      </c>
      <c r="C60" s="25" t="n">
        <f aca="false">NORMDIST(A60,$B$4,$D$4,FALSE())</f>
        <v>0.0302463405648929</v>
      </c>
      <c r="D60" s="25" t="n">
        <f aca="false">IF(A60&lt;=Parámetros!$B$13,C60,0)</f>
        <v>0</v>
      </c>
      <c r="E60" s="25" t="n">
        <f aca="false">IF(AND(A60&gt;=Parámetros!$B$13,A60&lt;=Parámetros!$B$14),C60,0)</f>
        <v>0.0302463405648929</v>
      </c>
      <c r="F60" s="25" t="n">
        <f aca="false">IF(A60&gt;=Parámetros!$B$14,C60,0)</f>
        <v>0.0302463405648929</v>
      </c>
    </row>
    <row r="61" customFormat="false" ht="15" hidden="false" customHeight="false" outlineLevel="0" collapsed="false">
      <c r="A61" s="23" t="n">
        <v>54</v>
      </c>
      <c r="B61" s="30" t="n">
        <f aca="false">(A61-$B$4)/$D$4</f>
        <v>1.125</v>
      </c>
      <c r="C61" s="25" t="n">
        <f aca="false">NORMDIST(A61,$B$4,$D$4,FALSE())</f>
        <v>0.0264845807219624</v>
      </c>
      <c r="D61" s="25" t="n">
        <f aca="false">IF(A61&lt;=Parámetros!$B$13,C61,0)</f>
        <v>0</v>
      </c>
      <c r="E61" s="25" t="n">
        <f aca="false">IF(AND(A61&gt;=Parámetros!$B$13,A61&lt;=Parámetros!$B$14),C61,0)</f>
        <v>0</v>
      </c>
      <c r="F61" s="25" t="n">
        <f aca="false">IF(A61&gt;=Parámetros!$B$14,C61,0)</f>
        <v>0.0264845807219624</v>
      </c>
    </row>
    <row r="62" customFormat="false" ht="15" hidden="false" customHeight="false" outlineLevel="0" collapsed="false">
      <c r="A62" s="23" t="n">
        <v>55</v>
      </c>
      <c r="B62" s="30" t="n">
        <f aca="false">(A62-$B$4)/$D$4</f>
        <v>1.25</v>
      </c>
      <c r="C62" s="25" t="n">
        <f aca="false">NORMDIST(A62,$B$4,$D$4,FALSE())</f>
        <v>0.0228311356736277</v>
      </c>
      <c r="D62" s="25" t="n">
        <f aca="false">IF(A62&lt;=Parámetros!$B$13,C62,0)</f>
        <v>0</v>
      </c>
      <c r="E62" s="25" t="n">
        <f aca="false">IF(AND(A62&gt;=Parámetros!$B$13,A62&lt;=Parámetros!$B$14),C62,0)</f>
        <v>0</v>
      </c>
      <c r="F62" s="25" t="n">
        <f aca="false">IF(A62&gt;=Parámetros!$B$14,C62,0)</f>
        <v>0.0228311356736277</v>
      </c>
    </row>
    <row r="63" customFormat="false" ht="15" hidden="false" customHeight="false" outlineLevel="0" collapsed="false">
      <c r="A63" s="23" t="n">
        <v>56</v>
      </c>
      <c r="B63" s="30" t="n">
        <f aca="false">(A63-$B$4)/$D$4</f>
        <v>1.375</v>
      </c>
      <c r="C63" s="25" t="n">
        <f aca="false">NORMDIST(A63,$B$4,$D$4,FALSE())</f>
        <v>0.0193765331822867</v>
      </c>
      <c r="D63" s="25" t="n">
        <f aca="false">IF(A63&lt;=Parámetros!$B$13,C63,0)</f>
        <v>0</v>
      </c>
      <c r="E63" s="25" t="n">
        <f aca="false">IF(AND(A63&gt;=Parámetros!$B$13,A63&lt;=Parámetros!$B$14),C63,0)</f>
        <v>0</v>
      </c>
      <c r="F63" s="25" t="n">
        <f aca="false">IF(A63&gt;=Parámetros!$B$14,C63,0)</f>
        <v>0.0193765331822867</v>
      </c>
    </row>
    <row r="64" customFormat="false" ht="15" hidden="false" customHeight="false" outlineLevel="0" collapsed="false">
      <c r="A64" s="23" t="n">
        <v>57</v>
      </c>
      <c r="B64" s="30" t="n">
        <f aca="false">(A64-$B$4)/$D$4</f>
        <v>1.5</v>
      </c>
      <c r="C64" s="25" t="n">
        <f aca="false">NORMDIST(A64,$B$4,$D$4,FALSE())</f>
        <v>0.0161896994582365</v>
      </c>
      <c r="D64" s="25" t="n">
        <f aca="false">IF(A64&lt;=Parámetros!$B$13,C64,0)</f>
        <v>0</v>
      </c>
      <c r="E64" s="25" t="n">
        <f aca="false">IF(AND(A64&gt;=Parámetros!$B$13,A64&lt;=Parámetros!$B$14),C64,0)</f>
        <v>0</v>
      </c>
      <c r="F64" s="25" t="n">
        <f aca="false">IF(A64&gt;=Parámetros!$B$14,C64,0)</f>
        <v>0.0161896994582365</v>
      </c>
    </row>
    <row r="65" customFormat="false" ht="15" hidden="false" customHeight="false" outlineLevel="0" collapsed="false">
      <c r="A65" s="23" t="n">
        <v>58</v>
      </c>
      <c r="B65" s="30" t="n">
        <f aca="false">(A65-$B$4)/$D$4</f>
        <v>1.625</v>
      </c>
      <c r="C65" s="25" t="n">
        <f aca="false">NORMDIST(A65,$B$4,$D$4,FALSE())</f>
        <v>0.0133172835163231</v>
      </c>
      <c r="D65" s="25" t="n">
        <f aca="false">IF(A65&lt;=Parámetros!$B$13,C65,0)</f>
        <v>0</v>
      </c>
      <c r="E65" s="25" t="n">
        <f aca="false">IF(AND(A65&gt;=Parámetros!$B$13,A65&lt;=Parámetros!$B$14),C65,0)</f>
        <v>0</v>
      </c>
      <c r="F65" s="25" t="n">
        <f aca="false">IF(A65&gt;=Parámetros!$B$14,C65,0)</f>
        <v>0.0133172835163231</v>
      </c>
    </row>
    <row r="66" customFormat="false" ht="15" hidden="false" customHeight="false" outlineLevel="0" collapsed="false">
      <c r="A66" s="23" t="n">
        <v>59</v>
      </c>
      <c r="B66" s="30" t="n">
        <f aca="false">(A66-$B$4)/$D$4</f>
        <v>1.75</v>
      </c>
      <c r="C66" s="25" t="n">
        <f aca="false">NORMDIST(A66,$B$4,$D$4,FALSE())</f>
        <v>0.0107846648533139</v>
      </c>
      <c r="D66" s="25" t="n">
        <f aca="false">IF(A66&lt;=Parámetros!$B$13,C66,0)</f>
        <v>0</v>
      </c>
      <c r="E66" s="25" t="n">
        <f aca="false">IF(AND(A66&gt;=Parámetros!$B$13,A66&lt;=Parámetros!$B$14),C66,0)</f>
        <v>0</v>
      </c>
      <c r="F66" s="25" t="n">
        <f aca="false">IF(A66&gt;=Parámetros!$B$14,C66,0)</f>
        <v>0.0107846648533139</v>
      </c>
    </row>
    <row r="67" customFormat="false" ht="15" hidden="false" customHeight="false" outlineLevel="0" collapsed="false">
      <c r="A67" s="23" t="n">
        <v>60</v>
      </c>
      <c r="B67" s="30" t="n">
        <f aca="false">(A67-$B$4)/$D$4</f>
        <v>1.875</v>
      </c>
      <c r="C67" s="25" t="n">
        <f aca="false">NORMDIST(A67,$B$4,$D$4,FALSE())</f>
        <v>0.00859828447833649</v>
      </c>
      <c r="D67" s="25" t="n">
        <f aca="false">IF(A67&lt;=Parámetros!$B$13,C67,0)</f>
        <v>0</v>
      </c>
      <c r="E67" s="25" t="n">
        <f aca="false">IF(AND(A67&gt;=Parámetros!$B$13,A67&lt;=Parámetros!$B$14),C67,0)</f>
        <v>0</v>
      </c>
      <c r="F67" s="25" t="n">
        <f aca="false">IF(A67&gt;=Parámetros!$B$14,C67,0)</f>
        <v>0.00859828447833649</v>
      </c>
    </row>
    <row r="68" customFormat="false" ht="15" hidden="false" customHeight="false" outlineLevel="0" collapsed="false">
      <c r="A68" s="23" t="n">
        <v>61</v>
      </c>
      <c r="B68" s="30" t="n">
        <f aca="false">(A68-$B$4)/$D$4</f>
        <v>2</v>
      </c>
      <c r="C68" s="25" t="n">
        <f aca="false">NORMDIST(A68,$B$4,$D$4,FALSE())</f>
        <v>0.00674887081414851</v>
      </c>
      <c r="D68" s="25" t="n">
        <f aca="false">IF(A68&lt;=Parámetros!$B$13,C68,0)</f>
        <v>0</v>
      </c>
      <c r="E68" s="25" t="n">
        <f aca="false">IF(AND(A68&gt;=Parámetros!$B$13,A68&lt;=Parámetros!$B$14),C68,0)</f>
        <v>0</v>
      </c>
      <c r="F68" s="25" t="n">
        <f aca="false">IF(A68&gt;=Parámetros!$B$14,C68,0)</f>
        <v>0.00674887081414851</v>
      </c>
    </row>
    <row r="69" customFormat="false" ht="15" hidden="false" customHeight="false" outlineLevel="0" collapsed="false">
      <c r="A69" s="23" t="n">
        <v>62</v>
      </c>
      <c r="B69" s="30" t="n">
        <f aca="false">(A69-$B$4)/$D$4</f>
        <v>2.125</v>
      </c>
      <c r="C69" s="25" t="n">
        <f aca="false">NORMDIST(A69,$B$4,$D$4,FALSE())</f>
        <v>0.00521512315704233</v>
      </c>
      <c r="D69" s="25" t="n">
        <f aca="false">IF(A69&lt;=Parámetros!$B$13,C69,0)</f>
        <v>0</v>
      </c>
      <c r="E69" s="25" t="n">
        <f aca="false">IF(AND(A69&gt;=Parámetros!$B$13,A69&lt;=Parámetros!$B$14),C69,0)</f>
        <v>0</v>
      </c>
      <c r="F69" s="25" t="n">
        <f aca="false">IF(A69&gt;=Parámetros!$B$14,C69,0)</f>
        <v>0.00521512315704233</v>
      </c>
    </row>
    <row r="70" customFormat="false" ht="15" hidden="false" customHeight="false" outlineLevel="0" collapsed="false">
      <c r="A70" s="23" t="n">
        <v>63</v>
      </c>
      <c r="B70" s="30" t="n">
        <f aca="false">(A70-$B$4)/$D$4</f>
        <v>2.25</v>
      </c>
      <c r="C70" s="25" t="n">
        <f aca="false">NORMDIST(A70,$B$4,$D$4,FALSE())</f>
        <v>0.00396745647945843</v>
      </c>
      <c r="D70" s="25" t="n">
        <f aca="false">IF(A70&lt;=Parámetros!$B$13,C70,0)</f>
        <v>0</v>
      </c>
      <c r="E70" s="25" t="n">
        <f aca="false">IF(AND(A70&gt;=Parámetros!$B$13,A70&lt;=Parámetros!$B$14),C70,0)</f>
        <v>0</v>
      </c>
      <c r="F70" s="25" t="n">
        <f aca="false">IF(A70&gt;=Parámetros!$B$14,C70,0)</f>
        <v>0.00396745647945843</v>
      </c>
    </row>
    <row r="71" customFormat="false" ht="15" hidden="false" customHeight="false" outlineLevel="0" collapsed="false">
      <c r="A71" s="23" t="n">
        <v>64</v>
      </c>
      <c r="B71" s="30" t="n">
        <f aca="false">(A71-$B$4)/$D$4</f>
        <v>2.375</v>
      </c>
      <c r="C71" s="25" t="n">
        <f aca="false">NORMDIST(A71,$B$4,$D$4,FALSE())</f>
        <v>0.00297148760373923</v>
      </c>
      <c r="D71" s="25" t="n">
        <f aca="false">IF(A71&lt;=Parámetros!$B$13,C71,0)</f>
        <v>0</v>
      </c>
      <c r="E71" s="25" t="n">
        <f aca="false">IF(AND(A71&gt;=Parámetros!$B$13,A71&lt;=Parámetros!$B$14),C71,0)</f>
        <v>0</v>
      </c>
      <c r="F71" s="25" t="n">
        <f aca="false">IF(A71&gt;=Parámetros!$B$14,C71,0)</f>
        <v>0.00297148760373923</v>
      </c>
    </row>
    <row r="72" customFormat="false" ht="15" hidden="false" customHeight="false" outlineLevel="0" collapsed="false">
      <c r="A72" s="23" t="n">
        <v>65</v>
      </c>
      <c r="B72" s="30" t="n">
        <f aca="false">(A72-$B$4)/$D$4</f>
        <v>2.5</v>
      </c>
      <c r="C72" s="25" t="n">
        <f aca="false">NORMDIST(A72,$B$4,$D$4,FALSE())</f>
        <v>0.00219103756169607</v>
      </c>
      <c r="D72" s="25" t="n">
        <f aca="false">IF(A72&lt;=Parámetros!$B$13,C72,0)</f>
        <v>0</v>
      </c>
      <c r="E72" s="25" t="n">
        <f aca="false">IF(AND(A72&gt;=Parámetros!$B$13,A72&lt;=Parámetros!$B$14),C72,0)</f>
        <v>0</v>
      </c>
      <c r="F72" s="25" t="n">
        <f aca="false">IF(A72&gt;=Parámetros!$B$14,C72,0)</f>
        <v>0.00219103756169607</v>
      </c>
    </row>
    <row r="73" customFormat="false" ht="15" hidden="false" customHeight="false" outlineLevel="0" collapsed="false">
      <c r="A73" s="23" t="n">
        <v>66</v>
      </c>
      <c r="B73" s="30" t="n">
        <f aca="false">(A73-$B$4)/$D$4</f>
        <v>2.625</v>
      </c>
      <c r="C73" s="25" t="n">
        <f aca="false">NORMDIST(A73,$B$4,$D$4,FALSE())</f>
        <v>0.00159052269960393</v>
      </c>
      <c r="D73" s="25" t="n">
        <f aca="false">IF(A73&lt;=Parámetros!$B$13,C73,0)</f>
        <v>0</v>
      </c>
      <c r="E73" s="25" t="n">
        <f aca="false">IF(AND(A73&gt;=Parámetros!$B$13,A73&lt;=Parámetros!$B$14),C73,0)</f>
        <v>0</v>
      </c>
      <c r="F73" s="25" t="n">
        <f aca="false">IF(A73&gt;=Parámetros!$B$14,C73,0)</f>
        <v>0.00159052269960393</v>
      </c>
    </row>
    <row r="74" customFormat="false" ht="15" hidden="false" customHeight="false" outlineLevel="0" collapsed="false">
      <c r="A74" s="23" t="n">
        <v>67</v>
      </c>
      <c r="B74" s="30" t="n">
        <f aca="false">(A74-$B$4)/$D$4</f>
        <v>2.75</v>
      </c>
      <c r="C74" s="25" t="n">
        <f aca="false">NORMDIST(A74,$B$4,$D$4,FALSE())</f>
        <v>0.00113669531269888</v>
      </c>
      <c r="D74" s="25" t="n">
        <f aca="false">IF(A74&lt;=Parámetros!$B$13,C74,0)</f>
        <v>0</v>
      </c>
      <c r="E74" s="25" t="n">
        <f aca="false">IF(AND(A74&gt;=Parámetros!$B$13,A74&lt;=Parámetros!$B$14),C74,0)</f>
        <v>0</v>
      </c>
      <c r="F74" s="25" t="n">
        <f aca="false">IF(A74&gt;=Parámetros!$B$14,C74,0)</f>
        <v>0.00113669531269888</v>
      </c>
    </row>
    <row r="75" customFormat="false" ht="15" hidden="false" customHeight="false" outlineLevel="0" collapsed="false">
      <c r="A75" s="23" t="n">
        <v>68</v>
      </c>
      <c r="B75" s="30" t="n">
        <f aca="false">(A75-$B$4)/$D$4</f>
        <v>2.875</v>
      </c>
      <c r="C75" s="25" t="n">
        <f aca="false">NORMDIST(A75,$B$4,$D$4,FALSE())</f>
        <v>0.000799765038840445</v>
      </c>
      <c r="D75" s="25" t="n">
        <f aca="false">IF(A75&lt;=Parámetros!$B$13,C75,0)</f>
        <v>0</v>
      </c>
      <c r="E75" s="25" t="n">
        <f aca="false">IF(AND(A75&gt;=Parámetros!$B$13,A75&lt;=Parámetros!$B$14),C75,0)</f>
        <v>0</v>
      </c>
      <c r="F75" s="25" t="n">
        <f aca="false">IF(A75&gt;=Parámetros!$B$14,C75,0)</f>
        <v>0.000799765038840445</v>
      </c>
    </row>
    <row r="76" customFormat="false" ht="15" hidden="false" customHeight="false" outlineLevel="0" collapsed="false">
      <c r="A76" s="23" t="n">
        <v>69</v>
      </c>
      <c r="B76" s="30" t="n">
        <f aca="false">(A76-$B$4)/$D$4</f>
        <v>3</v>
      </c>
      <c r="C76" s="25" t="n">
        <f aca="false">NORMDIST(A76,$B$4,$D$4,FALSE())</f>
        <v>0.000553981051492251</v>
      </c>
      <c r="D76" s="25" t="n">
        <f aca="false">IF(A76&lt;=Parámetros!$B$13,C76,0)</f>
        <v>0</v>
      </c>
      <c r="E76" s="25" t="n">
        <f aca="false">IF(AND(A76&gt;=Parámetros!$B$13,A76&lt;=Parámetros!$B$14),C76,0)</f>
        <v>0</v>
      </c>
      <c r="F76" s="25" t="n">
        <f aca="false">IF(A76&gt;=Parámetros!$B$14,C76,0)</f>
        <v>0.000553981051492251</v>
      </c>
    </row>
    <row r="78" customFormat="false" ht="15" hidden="false" customHeight="false" outlineLevel="0" collapsed="false">
      <c r="A78" s="2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1" min="2" style="0" width="9"/>
  </cols>
  <sheetData>
    <row r="1" customFormat="false" ht="17.35" hidden="false" customHeight="false" outlineLevel="0" collapsed="false">
      <c r="A1" s="1" t="s">
        <v>152</v>
      </c>
    </row>
    <row r="2" customFormat="false" ht="15" hidden="false" customHeight="false" outlineLevel="0" collapsed="false">
      <c r="A2" s="2" t="s">
        <v>153</v>
      </c>
    </row>
    <row r="4" customFormat="false" ht="15" hidden="false" customHeight="false" outlineLevel="0" collapsed="false">
      <c r="A4" s="3" t="s">
        <v>146</v>
      </c>
      <c r="B4" s="31" t="n">
        <v>0</v>
      </c>
      <c r="C4" s="31" t="n">
        <v>0.01</v>
      </c>
      <c r="D4" s="31" t="n">
        <v>0.02</v>
      </c>
      <c r="E4" s="31" t="n">
        <v>0.03</v>
      </c>
      <c r="F4" s="31" t="n">
        <v>0.04</v>
      </c>
      <c r="G4" s="31" t="n">
        <v>0.05</v>
      </c>
      <c r="H4" s="31" t="n">
        <v>0.06</v>
      </c>
      <c r="I4" s="31" t="n">
        <v>0.07</v>
      </c>
      <c r="J4" s="31" t="n">
        <v>0.08</v>
      </c>
      <c r="K4" s="31" t="n">
        <v>0.09</v>
      </c>
    </row>
    <row r="5" customFormat="false" ht="15" hidden="false" customHeight="false" outlineLevel="0" collapsed="false">
      <c r="A5" s="32" t="n">
        <v>0</v>
      </c>
      <c r="B5" s="29" t="n">
        <f aca="false">ROUND(NORMSDIST($A5+B$4),4)</f>
        <v>0.5</v>
      </c>
      <c r="C5" s="29" t="n">
        <f aca="false">ROUND(NORMSDIST($A5+C$4),4)</f>
        <v>0.504</v>
      </c>
      <c r="D5" s="29" t="n">
        <f aca="false">ROUND(NORMSDIST($A5+D$4),4)</f>
        <v>0.508</v>
      </c>
      <c r="E5" s="29" t="n">
        <f aca="false">ROUND(NORMSDIST($A5+E$4),4)</f>
        <v>0.512</v>
      </c>
      <c r="F5" s="29" t="n">
        <f aca="false">ROUND(NORMSDIST($A5+F$4),4)</f>
        <v>0.516</v>
      </c>
      <c r="G5" s="29" t="n">
        <f aca="false">ROUND(NORMSDIST($A5+G$4),4)</f>
        <v>0.5199</v>
      </c>
      <c r="H5" s="29" t="n">
        <f aca="false">ROUND(NORMSDIST($A5+H$4),4)</f>
        <v>0.5239</v>
      </c>
      <c r="I5" s="29" t="n">
        <f aca="false">ROUND(NORMSDIST($A5+I$4),4)</f>
        <v>0.5279</v>
      </c>
      <c r="J5" s="29" t="n">
        <f aca="false">ROUND(NORMSDIST($A5+J$4),4)</f>
        <v>0.5319</v>
      </c>
      <c r="K5" s="29" t="n">
        <f aca="false">ROUND(NORMSDIST($A5+K$4),4)</f>
        <v>0.5359</v>
      </c>
    </row>
    <row r="6" customFormat="false" ht="15" hidden="false" customHeight="false" outlineLevel="0" collapsed="false">
      <c r="A6" s="32" t="n">
        <v>0.1</v>
      </c>
      <c r="B6" s="29" t="n">
        <f aca="false">ROUND(NORMSDIST($A6+B$4),4)</f>
        <v>0.5398</v>
      </c>
      <c r="C6" s="29" t="n">
        <f aca="false">ROUND(NORMSDIST($A6+C$4),4)</f>
        <v>0.5438</v>
      </c>
      <c r="D6" s="29" t="n">
        <f aca="false">ROUND(NORMSDIST($A6+D$4),4)</f>
        <v>0.5478</v>
      </c>
      <c r="E6" s="29" t="n">
        <f aca="false">ROUND(NORMSDIST($A6+E$4),4)</f>
        <v>0.5517</v>
      </c>
      <c r="F6" s="29" t="n">
        <f aca="false">ROUND(NORMSDIST($A6+F$4),4)</f>
        <v>0.5557</v>
      </c>
      <c r="G6" s="29" t="n">
        <f aca="false">ROUND(NORMSDIST($A6+G$4),4)</f>
        <v>0.5596</v>
      </c>
      <c r="H6" s="29" t="n">
        <f aca="false">ROUND(NORMSDIST($A6+H$4),4)</f>
        <v>0.5636</v>
      </c>
      <c r="I6" s="29" t="n">
        <f aca="false">ROUND(NORMSDIST($A6+I$4),4)</f>
        <v>0.5675</v>
      </c>
      <c r="J6" s="29" t="n">
        <f aca="false">ROUND(NORMSDIST($A6+J$4),4)</f>
        <v>0.5714</v>
      </c>
      <c r="K6" s="29" t="n">
        <f aca="false">ROUND(NORMSDIST($A6+K$4),4)</f>
        <v>0.5753</v>
      </c>
    </row>
    <row r="7" customFormat="false" ht="15" hidden="false" customHeight="false" outlineLevel="0" collapsed="false">
      <c r="A7" s="32" t="n">
        <v>0.2</v>
      </c>
      <c r="B7" s="29" t="n">
        <f aca="false">ROUND(NORMSDIST($A7+B$4),4)</f>
        <v>0.5793</v>
      </c>
      <c r="C7" s="29" t="n">
        <f aca="false">ROUND(NORMSDIST($A7+C$4),4)</f>
        <v>0.5832</v>
      </c>
      <c r="D7" s="29" t="n">
        <f aca="false">ROUND(NORMSDIST($A7+D$4),4)</f>
        <v>0.5871</v>
      </c>
      <c r="E7" s="29" t="n">
        <f aca="false">ROUND(NORMSDIST($A7+E$4),4)</f>
        <v>0.591</v>
      </c>
      <c r="F7" s="29" t="n">
        <f aca="false">ROUND(NORMSDIST($A7+F$4),4)</f>
        <v>0.5948</v>
      </c>
      <c r="G7" s="29" t="n">
        <f aca="false">ROUND(NORMSDIST($A7+G$4),4)</f>
        <v>0.5987</v>
      </c>
      <c r="H7" s="29" t="n">
        <f aca="false">ROUND(NORMSDIST($A7+H$4),4)</f>
        <v>0.6026</v>
      </c>
      <c r="I7" s="29" t="n">
        <f aca="false">ROUND(NORMSDIST($A7+I$4),4)</f>
        <v>0.6064</v>
      </c>
      <c r="J7" s="29" t="n">
        <f aca="false">ROUND(NORMSDIST($A7+J$4),4)</f>
        <v>0.6103</v>
      </c>
      <c r="K7" s="29" t="n">
        <f aca="false">ROUND(NORMSDIST($A7+K$4),4)</f>
        <v>0.6141</v>
      </c>
    </row>
    <row r="8" customFormat="false" ht="15" hidden="false" customHeight="false" outlineLevel="0" collapsed="false">
      <c r="A8" s="32" t="n">
        <v>0.3</v>
      </c>
      <c r="B8" s="29" t="n">
        <f aca="false">ROUND(NORMSDIST($A8+B$4),4)</f>
        <v>0.6179</v>
      </c>
      <c r="C8" s="29" t="n">
        <f aca="false">ROUND(NORMSDIST($A8+C$4),4)</f>
        <v>0.6217</v>
      </c>
      <c r="D8" s="29" t="n">
        <f aca="false">ROUND(NORMSDIST($A8+D$4),4)</f>
        <v>0.6255</v>
      </c>
      <c r="E8" s="29" t="n">
        <f aca="false">ROUND(NORMSDIST($A8+E$4),4)</f>
        <v>0.6293</v>
      </c>
      <c r="F8" s="29" t="n">
        <f aca="false">ROUND(NORMSDIST($A8+F$4),4)</f>
        <v>0.6331</v>
      </c>
      <c r="G8" s="29" t="n">
        <f aca="false">ROUND(NORMSDIST($A8+G$4),4)</f>
        <v>0.6368</v>
      </c>
      <c r="H8" s="29" t="n">
        <f aca="false">ROUND(NORMSDIST($A8+H$4),4)</f>
        <v>0.6406</v>
      </c>
      <c r="I8" s="29" t="n">
        <f aca="false">ROUND(NORMSDIST($A8+I$4),4)</f>
        <v>0.6443</v>
      </c>
      <c r="J8" s="29" t="n">
        <f aca="false">ROUND(NORMSDIST($A8+J$4),4)</f>
        <v>0.648</v>
      </c>
      <c r="K8" s="29" t="n">
        <f aca="false">ROUND(NORMSDIST($A8+K$4),4)</f>
        <v>0.6517</v>
      </c>
    </row>
    <row r="9" customFormat="false" ht="15" hidden="false" customHeight="false" outlineLevel="0" collapsed="false">
      <c r="A9" s="32" t="n">
        <v>0.4</v>
      </c>
      <c r="B9" s="29" t="n">
        <f aca="false">ROUND(NORMSDIST($A9+B$4),4)</f>
        <v>0.6554</v>
      </c>
      <c r="C9" s="29" t="n">
        <f aca="false">ROUND(NORMSDIST($A9+C$4),4)</f>
        <v>0.6591</v>
      </c>
      <c r="D9" s="29" t="n">
        <f aca="false">ROUND(NORMSDIST($A9+D$4),4)</f>
        <v>0.6628</v>
      </c>
      <c r="E9" s="29" t="n">
        <f aca="false">ROUND(NORMSDIST($A9+E$4),4)</f>
        <v>0.6664</v>
      </c>
      <c r="F9" s="29" t="n">
        <f aca="false">ROUND(NORMSDIST($A9+F$4),4)</f>
        <v>0.67</v>
      </c>
      <c r="G9" s="29" t="n">
        <f aca="false">ROUND(NORMSDIST($A9+G$4),4)</f>
        <v>0.6736</v>
      </c>
      <c r="H9" s="29" t="n">
        <f aca="false">ROUND(NORMSDIST($A9+H$4),4)</f>
        <v>0.6772</v>
      </c>
      <c r="I9" s="29" t="n">
        <f aca="false">ROUND(NORMSDIST($A9+I$4),4)</f>
        <v>0.6808</v>
      </c>
      <c r="J9" s="29" t="n">
        <f aca="false">ROUND(NORMSDIST($A9+J$4),4)</f>
        <v>0.6844</v>
      </c>
      <c r="K9" s="29" t="n">
        <f aca="false">ROUND(NORMSDIST($A9+K$4),4)</f>
        <v>0.6879</v>
      </c>
    </row>
    <row r="10" customFormat="false" ht="15" hidden="false" customHeight="false" outlineLevel="0" collapsed="false">
      <c r="A10" s="32" t="n">
        <v>0.5</v>
      </c>
      <c r="B10" s="29" t="n">
        <f aca="false">ROUND(NORMSDIST($A10+B$4),4)</f>
        <v>0.6915</v>
      </c>
      <c r="C10" s="29" t="n">
        <f aca="false">ROUND(NORMSDIST($A10+C$4),4)</f>
        <v>0.695</v>
      </c>
      <c r="D10" s="29" t="n">
        <f aca="false">ROUND(NORMSDIST($A10+D$4),4)</f>
        <v>0.6985</v>
      </c>
      <c r="E10" s="29" t="n">
        <f aca="false">ROUND(NORMSDIST($A10+E$4),4)</f>
        <v>0.7019</v>
      </c>
      <c r="F10" s="29" t="n">
        <f aca="false">ROUND(NORMSDIST($A10+F$4),4)</f>
        <v>0.7054</v>
      </c>
      <c r="G10" s="29" t="n">
        <f aca="false">ROUND(NORMSDIST($A10+G$4),4)</f>
        <v>0.7088</v>
      </c>
      <c r="H10" s="29" t="n">
        <f aca="false">ROUND(NORMSDIST($A10+H$4),4)</f>
        <v>0.7123</v>
      </c>
      <c r="I10" s="29" t="n">
        <f aca="false">ROUND(NORMSDIST($A10+I$4),4)</f>
        <v>0.7157</v>
      </c>
      <c r="J10" s="29" t="n">
        <f aca="false">ROUND(NORMSDIST($A10+J$4),4)</f>
        <v>0.719</v>
      </c>
      <c r="K10" s="29" t="n">
        <f aca="false">ROUND(NORMSDIST($A10+K$4),4)</f>
        <v>0.7224</v>
      </c>
    </row>
    <row r="11" customFormat="false" ht="15" hidden="false" customHeight="false" outlineLevel="0" collapsed="false">
      <c r="A11" s="32" t="n">
        <v>0.6</v>
      </c>
      <c r="B11" s="29" t="n">
        <f aca="false">ROUND(NORMSDIST($A11+B$4),4)</f>
        <v>0.7257</v>
      </c>
      <c r="C11" s="29" t="n">
        <f aca="false">ROUND(NORMSDIST($A11+C$4),4)</f>
        <v>0.7291</v>
      </c>
      <c r="D11" s="29" t="n">
        <f aca="false">ROUND(NORMSDIST($A11+D$4),4)</f>
        <v>0.7324</v>
      </c>
      <c r="E11" s="29" t="n">
        <f aca="false">ROUND(NORMSDIST($A11+E$4),4)</f>
        <v>0.7357</v>
      </c>
      <c r="F11" s="29" t="n">
        <f aca="false">ROUND(NORMSDIST($A11+F$4),4)</f>
        <v>0.7389</v>
      </c>
      <c r="G11" s="29" t="n">
        <f aca="false">ROUND(NORMSDIST($A11+G$4),4)</f>
        <v>0.7422</v>
      </c>
      <c r="H11" s="29" t="n">
        <f aca="false">ROUND(NORMSDIST($A11+H$4),4)</f>
        <v>0.7454</v>
      </c>
      <c r="I11" s="29" t="n">
        <f aca="false">ROUND(NORMSDIST($A11+I$4),4)</f>
        <v>0.7486</v>
      </c>
      <c r="J11" s="29" t="n">
        <f aca="false">ROUND(NORMSDIST($A11+J$4),4)</f>
        <v>0.7517</v>
      </c>
      <c r="K11" s="29" t="n">
        <f aca="false">ROUND(NORMSDIST($A11+K$4),4)</f>
        <v>0.7549</v>
      </c>
    </row>
    <row r="12" customFormat="false" ht="15" hidden="false" customHeight="false" outlineLevel="0" collapsed="false">
      <c r="A12" s="32" t="n">
        <v>0.7</v>
      </c>
      <c r="B12" s="29" t="n">
        <f aca="false">ROUND(NORMSDIST($A12+B$4),4)</f>
        <v>0.758</v>
      </c>
      <c r="C12" s="29" t="n">
        <f aca="false">ROUND(NORMSDIST($A12+C$4),4)</f>
        <v>0.7611</v>
      </c>
      <c r="D12" s="29" t="n">
        <f aca="false">ROUND(NORMSDIST($A12+D$4),4)</f>
        <v>0.7642</v>
      </c>
      <c r="E12" s="29" t="n">
        <f aca="false">ROUND(NORMSDIST($A12+E$4),4)</f>
        <v>0.7673</v>
      </c>
      <c r="F12" s="29" t="n">
        <f aca="false">ROUND(NORMSDIST($A12+F$4),4)</f>
        <v>0.7704</v>
      </c>
      <c r="G12" s="29" t="n">
        <f aca="false">ROUND(NORMSDIST($A12+G$4),4)</f>
        <v>0.7734</v>
      </c>
      <c r="H12" s="29" t="n">
        <f aca="false">ROUND(NORMSDIST($A12+H$4),4)</f>
        <v>0.7764</v>
      </c>
      <c r="I12" s="29" t="n">
        <f aca="false">ROUND(NORMSDIST($A12+I$4),4)</f>
        <v>0.7794</v>
      </c>
      <c r="J12" s="29" t="n">
        <f aca="false">ROUND(NORMSDIST($A12+J$4),4)</f>
        <v>0.7823</v>
      </c>
      <c r="K12" s="29" t="n">
        <f aca="false">ROUND(NORMSDIST($A12+K$4),4)</f>
        <v>0.7852</v>
      </c>
    </row>
    <row r="13" customFormat="false" ht="15" hidden="false" customHeight="false" outlineLevel="0" collapsed="false">
      <c r="A13" s="32" t="n">
        <v>0.8</v>
      </c>
      <c r="B13" s="29" t="n">
        <f aca="false">ROUND(NORMSDIST($A13+B$4),4)</f>
        <v>0.7881</v>
      </c>
      <c r="C13" s="29" t="n">
        <f aca="false">ROUND(NORMSDIST($A13+C$4),4)</f>
        <v>0.791</v>
      </c>
      <c r="D13" s="29" t="n">
        <f aca="false">ROUND(NORMSDIST($A13+D$4),4)</f>
        <v>0.7939</v>
      </c>
      <c r="E13" s="29" t="n">
        <f aca="false">ROUND(NORMSDIST($A13+E$4),4)</f>
        <v>0.7967</v>
      </c>
      <c r="F13" s="29" t="n">
        <f aca="false">ROUND(NORMSDIST($A13+F$4),4)</f>
        <v>0.7995</v>
      </c>
      <c r="G13" s="29" t="n">
        <f aca="false">ROUND(NORMSDIST($A13+G$4),4)</f>
        <v>0.8023</v>
      </c>
      <c r="H13" s="29" t="n">
        <f aca="false">ROUND(NORMSDIST($A13+H$4),4)</f>
        <v>0.8051</v>
      </c>
      <c r="I13" s="29" t="n">
        <f aca="false">ROUND(NORMSDIST($A13+I$4),4)</f>
        <v>0.8078</v>
      </c>
      <c r="J13" s="29" t="n">
        <f aca="false">ROUND(NORMSDIST($A13+J$4),4)</f>
        <v>0.8106</v>
      </c>
      <c r="K13" s="29" t="n">
        <f aca="false">ROUND(NORMSDIST($A13+K$4),4)</f>
        <v>0.8133</v>
      </c>
    </row>
    <row r="14" customFormat="false" ht="15" hidden="false" customHeight="false" outlineLevel="0" collapsed="false">
      <c r="A14" s="32" t="n">
        <v>0.9</v>
      </c>
      <c r="B14" s="29" t="n">
        <f aca="false">ROUND(NORMSDIST($A14+B$4),4)</f>
        <v>0.8159</v>
      </c>
      <c r="C14" s="29" t="n">
        <f aca="false">ROUND(NORMSDIST($A14+C$4),4)</f>
        <v>0.8186</v>
      </c>
      <c r="D14" s="29" t="n">
        <f aca="false">ROUND(NORMSDIST($A14+D$4),4)</f>
        <v>0.8212</v>
      </c>
      <c r="E14" s="29" t="n">
        <f aca="false">ROUND(NORMSDIST($A14+E$4),4)</f>
        <v>0.8238</v>
      </c>
      <c r="F14" s="29" t="n">
        <f aca="false">ROUND(NORMSDIST($A14+F$4),4)</f>
        <v>0.8264</v>
      </c>
      <c r="G14" s="29" t="n">
        <f aca="false">ROUND(NORMSDIST($A14+G$4),4)</f>
        <v>0.8289</v>
      </c>
      <c r="H14" s="29" t="n">
        <f aca="false">ROUND(NORMSDIST($A14+H$4),4)</f>
        <v>0.8315</v>
      </c>
      <c r="I14" s="29" t="n">
        <f aca="false">ROUND(NORMSDIST($A14+I$4),4)</f>
        <v>0.834</v>
      </c>
      <c r="J14" s="29" t="n">
        <f aca="false">ROUND(NORMSDIST($A14+J$4),4)</f>
        <v>0.8365</v>
      </c>
      <c r="K14" s="29" t="n">
        <f aca="false">ROUND(NORMSDIST($A14+K$4),4)</f>
        <v>0.8389</v>
      </c>
    </row>
    <row r="15" customFormat="false" ht="15" hidden="false" customHeight="false" outlineLevel="0" collapsed="false">
      <c r="A15" s="32" t="n">
        <v>1</v>
      </c>
      <c r="B15" s="29" t="n">
        <f aca="false">ROUND(NORMSDIST($A15+B$4),4)</f>
        <v>0.8413</v>
      </c>
      <c r="C15" s="29" t="n">
        <f aca="false">ROUND(NORMSDIST($A15+C$4),4)</f>
        <v>0.8438</v>
      </c>
      <c r="D15" s="29" t="n">
        <f aca="false">ROUND(NORMSDIST($A15+D$4),4)</f>
        <v>0.8461</v>
      </c>
      <c r="E15" s="29" t="n">
        <f aca="false">ROUND(NORMSDIST($A15+E$4),4)</f>
        <v>0.8485</v>
      </c>
      <c r="F15" s="29" t="n">
        <f aca="false">ROUND(NORMSDIST($A15+F$4),4)</f>
        <v>0.8508</v>
      </c>
      <c r="G15" s="29" t="n">
        <f aca="false">ROUND(NORMSDIST($A15+G$4),4)</f>
        <v>0.8531</v>
      </c>
      <c r="H15" s="29" t="n">
        <f aca="false">ROUND(NORMSDIST($A15+H$4),4)</f>
        <v>0.8554</v>
      </c>
      <c r="I15" s="29" t="n">
        <f aca="false">ROUND(NORMSDIST($A15+I$4),4)</f>
        <v>0.8577</v>
      </c>
      <c r="J15" s="29" t="n">
        <f aca="false">ROUND(NORMSDIST($A15+J$4),4)</f>
        <v>0.8599</v>
      </c>
      <c r="K15" s="29" t="n">
        <f aca="false">ROUND(NORMSDIST($A15+K$4),4)</f>
        <v>0.8621</v>
      </c>
    </row>
    <row r="16" customFormat="false" ht="15" hidden="false" customHeight="false" outlineLevel="0" collapsed="false">
      <c r="A16" s="32" t="n">
        <v>1.1</v>
      </c>
      <c r="B16" s="29" t="n">
        <f aca="false">ROUND(NORMSDIST($A16+B$4),4)</f>
        <v>0.8643</v>
      </c>
      <c r="C16" s="29" t="n">
        <f aca="false">ROUND(NORMSDIST($A16+C$4),4)</f>
        <v>0.8665</v>
      </c>
      <c r="D16" s="29" t="n">
        <f aca="false">ROUND(NORMSDIST($A16+D$4),4)</f>
        <v>0.8686</v>
      </c>
      <c r="E16" s="29" t="n">
        <f aca="false">ROUND(NORMSDIST($A16+E$4),4)</f>
        <v>0.8708</v>
      </c>
      <c r="F16" s="29" t="n">
        <f aca="false">ROUND(NORMSDIST($A16+F$4),4)</f>
        <v>0.8729</v>
      </c>
      <c r="G16" s="29" t="n">
        <f aca="false">ROUND(NORMSDIST($A16+G$4),4)</f>
        <v>0.8749</v>
      </c>
      <c r="H16" s="29" t="n">
        <f aca="false">ROUND(NORMSDIST($A16+H$4),4)</f>
        <v>0.877</v>
      </c>
      <c r="I16" s="29" t="n">
        <f aca="false">ROUND(NORMSDIST($A16+I$4),4)</f>
        <v>0.879</v>
      </c>
      <c r="J16" s="29" t="n">
        <f aca="false">ROUND(NORMSDIST($A16+J$4),4)</f>
        <v>0.881</v>
      </c>
      <c r="K16" s="29" t="n">
        <f aca="false">ROUND(NORMSDIST($A16+K$4),4)</f>
        <v>0.883</v>
      </c>
    </row>
    <row r="17" customFormat="false" ht="15" hidden="false" customHeight="false" outlineLevel="0" collapsed="false">
      <c r="A17" s="32" t="n">
        <v>1.2</v>
      </c>
      <c r="B17" s="29" t="n">
        <f aca="false">ROUND(NORMSDIST($A17+B$4),4)</f>
        <v>0.8849</v>
      </c>
      <c r="C17" s="29" t="n">
        <f aca="false">ROUND(NORMSDIST($A17+C$4),4)</f>
        <v>0.8869</v>
      </c>
      <c r="D17" s="29" t="n">
        <f aca="false">ROUND(NORMSDIST($A17+D$4),4)</f>
        <v>0.8888</v>
      </c>
      <c r="E17" s="29" t="n">
        <f aca="false">ROUND(NORMSDIST($A17+E$4),4)</f>
        <v>0.8907</v>
      </c>
      <c r="F17" s="29" t="n">
        <f aca="false">ROUND(NORMSDIST($A17+F$4),4)</f>
        <v>0.8925</v>
      </c>
      <c r="G17" s="29" t="n">
        <f aca="false">ROUND(NORMSDIST($A17+G$4),4)</f>
        <v>0.8944</v>
      </c>
      <c r="H17" s="29" t="n">
        <f aca="false">ROUND(NORMSDIST($A17+H$4),4)</f>
        <v>0.8962</v>
      </c>
      <c r="I17" s="29" t="n">
        <f aca="false">ROUND(NORMSDIST($A17+I$4),4)</f>
        <v>0.898</v>
      </c>
      <c r="J17" s="29" t="n">
        <f aca="false">ROUND(NORMSDIST($A17+J$4),4)</f>
        <v>0.8997</v>
      </c>
      <c r="K17" s="29" t="n">
        <f aca="false">ROUND(NORMSDIST($A17+K$4),4)</f>
        <v>0.9015</v>
      </c>
    </row>
    <row r="18" customFormat="false" ht="15" hidden="false" customHeight="false" outlineLevel="0" collapsed="false">
      <c r="A18" s="32" t="n">
        <v>1.3</v>
      </c>
      <c r="B18" s="29" t="n">
        <f aca="false">ROUND(NORMSDIST($A18+B$4),4)</f>
        <v>0.9032</v>
      </c>
      <c r="C18" s="29" t="n">
        <f aca="false">ROUND(NORMSDIST($A18+C$4),4)</f>
        <v>0.9049</v>
      </c>
      <c r="D18" s="29" t="n">
        <f aca="false">ROUND(NORMSDIST($A18+D$4),4)</f>
        <v>0.9066</v>
      </c>
      <c r="E18" s="29" t="n">
        <f aca="false">ROUND(NORMSDIST($A18+E$4),4)</f>
        <v>0.9082</v>
      </c>
      <c r="F18" s="29" t="n">
        <f aca="false">ROUND(NORMSDIST($A18+F$4),4)</f>
        <v>0.9099</v>
      </c>
      <c r="G18" s="29" t="n">
        <f aca="false">ROUND(NORMSDIST($A18+G$4),4)</f>
        <v>0.9115</v>
      </c>
      <c r="H18" s="29" t="n">
        <f aca="false">ROUND(NORMSDIST($A18+H$4),4)</f>
        <v>0.9131</v>
      </c>
      <c r="I18" s="29" t="n">
        <f aca="false">ROUND(NORMSDIST($A18+I$4),4)</f>
        <v>0.9147</v>
      </c>
      <c r="J18" s="29" t="n">
        <f aca="false">ROUND(NORMSDIST($A18+J$4),4)</f>
        <v>0.9162</v>
      </c>
      <c r="K18" s="29" t="n">
        <f aca="false">ROUND(NORMSDIST($A18+K$4),4)</f>
        <v>0.9177</v>
      </c>
    </row>
    <row r="19" customFormat="false" ht="15" hidden="false" customHeight="false" outlineLevel="0" collapsed="false">
      <c r="A19" s="32" t="n">
        <v>1.4</v>
      </c>
      <c r="B19" s="29" t="n">
        <f aca="false">ROUND(NORMSDIST($A19+B$4),4)</f>
        <v>0.9192</v>
      </c>
      <c r="C19" s="29" t="n">
        <f aca="false">ROUND(NORMSDIST($A19+C$4),4)</f>
        <v>0.9207</v>
      </c>
      <c r="D19" s="29" t="n">
        <f aca="false">ROUND(NORMSDIST($A19+D$4),4)</f>
        <v>0.9222</v>
      </c>
      <c r="E19" s="29" t="n">
        <f aca="false">ROUND(NORMSDIST($A19+E$4),4)</f>
        <v>0.9236</v>
      </c>
      <c r="F19" s="29" t="n">
        <f aca="false">ROUND(NORMSDIST($A19+F$4),4)</f>
        <v>0.9251</v>
      </c>
      <c r="G19" s="29" t="n">
        <f aca="false">ROUND(NORMSDIST($A19+G$4),4)</f>
        <v>0.9265</v>
      </c>
      <c r="H19" s="29" t="n">
        <f aca="false">ROUND(NORMSDIST($A19+H$4),4)</f>
        <v>0.9279</v>
      </c>
      <c r="I19" s="29" t="n">
        <f aca="false">ROUND(NORMSDIST($A19+I$4),4)</f>
        <v>0.9292</v>
      </c>
      <c r="J19" s="29" t="n">
        <f aca="false">ROUND(NORMSDIST($A19+J$4),4)</f>
        <v>0.9306</v>
      </c>
      <c r="K19" s="29" t="n">
        <f aca="false">ROUND(NORMSDIST($A19+K$4),4)</f>
        <v>0.9319</v>
      </c>
    </row>
    <row r="20" customFormat="false" ht="15" hidden="false" customHeight="false" outlineLevel="0" collapsed="false">
      <c r="A20" s="32" t="n">
        <v>1.5</v>
      </c>
      <c r="B20" s="29" t="n">
        <f aca="false">ROUND(NORMSDIST($A20+B$4),4)</f>
        <v>0.9332</v>
      </c>
      <c r="C20" s="29" t="n">
        <f aca="false">ROUND(NORMSDIST($A20+C$4),4)</f>
        <v>0.9345</v>
      </c>
      <c r="D20" s="29" t="n">
        <f aca="false">ROUND(NORMSDIST($A20+D$4),4)</f>
        <v>0.9357</v>
      </c>
      <c r="E20" s="29" t="n">
        <f aca="false">ROUND(NORMSDIST($A20+E$4),4)</f>
        <v>0.937</v>
      </c>
      <c r="F20" s="29" t="n">
        <f aca="false">ROUND(NORMSDIST($A20+F$4),4)</f>
        <v>0.9382</v>
      </c>
      <c r="G20" s="29" t="n">
        <f aca="false">ROUND(NORMSDIST($A20+G$4),4)</f>
        <v>0.9394</v>
      </c>
      <c r="H20" s="29" t="n">
        <f aca="false">ROUND(NORMSDIST($A20+H$4),4)</f>
        <v>0.9406</v>
      </c>
      <c r="I20" s="29" t="n">
        <f aca="false">ROUND(NORMSDIST($A20+I$4),4)</f>
        <v>0.9418</v>
      </c>
      <c r="J20" s="29" t="n">
        <f aca="false">ROUND(NORMSDIST($A20+J$4),4)</f>
        <v>0.9429</v>
      </c>
      <c r="K20" s="29" t="n">
        <f aca="false">ROUND(NORMSDIST($A20+K$4),4)</f>
        <v>0.9441</v>
      </c>
    </row>
    <row r="21" customFormat="false" ht="15" hidden="false" customHeight="false" outlineLevel="0" collapsed="false">
      <c r="A21" s="32" t="n">
        <v>1.6</v>
      </c>
      <c r="B21" s="29" t="n">
        <f aca="false">ROUND(NORMSDIST($A21+B$4),4)</f>
        <v>0.9452</v>
      </c>
      <c r="C21" s="29" t="n">
        <f aca="false">ROUND(NORMSDIST($A21+C$4),4)</f>
        <v>0.9463</v>
      </c>
      <c r="D21" s="29" t="n">
        <f aca="false">ROUND(NORMSDIST($A21+D$4),4)</f>
        <v>0.9474</v>
      </c>
      <c r="E21" s="29" t="n">
        <f aca="false">ROUND(NORMSDIST($A21+E$4),4)</f>
        <v>0.9484</v>
      </c>
      <c r="F21" s="29" t="n">
        <f aca="false">ROUND(NORMSDIST($A21+F$4),4)</f>
        <v>0.9495</v>
      </c>
      <c r="G21" s="29" t="n">
        <f aca="false">ROUND(NORMSDIST($A21+G$4),4)</f>
        <v>0.9505</v>
      </c>
      <c r="H21" s="29" t="n">
        <f aca="false">ROUND(NORMSDIST($A21+H$4),4)</f>
        <v>0.9515</v>
      </c>
      <c r="I21" s="29" t="n">
        <f aca="false">ROUND(NORMSDIST($A21+I$4),4)</f>
        <v>0.9525</v>
      </c>
      <c r="J21" s="29" t="n">
        <f aca="false">ROUND(NORMSDIST($A21+J$4),4)</f>
        <v>0.9535</v>
      </c>
      <c r="K21" s="29" t="n">
        <f aca="false">ROUND(NORMSDIST($A21+K$4),4)</f>
        <v>0.9545</v>
      </c>
    </row>
    <row r="22" customFormat="false" ht="15" hidden="false" customHeight="false" outlineLevel="0" collapsed="false">
      <c r="A22" s="32" t="n">
        <v>1.7</v>
      </c>
      <c r="B22" s="29" t="n">
        <f aca="false">ROUND(NORMSDIST($A22+B$4),4)</f>
        <v>0.9554</v>
      </c>
      <c r="C22" s="29" t="n">
        <f aca="false">ROUND(NORMSDIST($A22+C$4),4)</f>
        <v>0.9564</v>
      </c>
      <c r="D22" s="29" t="n">
        <f aca="false">ROUND(NORMSDIST($A22+D$4),4)</f>
        <v>0.9573</v>
      </c>
      <c r="E22" s="29" t="n">
        <f aca="false">ROUND(NORMSDIST($A22+E$4),4)</f>
        <v>0.9582</v>
      </c>
      <c r="F22" s="29" t="n">
        <f aca="false">ROUND(NORMSDIST($A22+F$4),4)</f>
        <v>0.9591</v>
      </c>
      <c r="G22" s="29" t="n">
        <f aca="false">ROUND(NORMSDIST($A22+G$4),4)</f>
        <v>0.9599</v>
      </c>
      <c r="H22" s="29" t="n">
        <f aca="false">ROUND(NORMSDIST($A22+H$4),4)</f>
        <v>0.9608</v>
      </c>
      <c r="I22" s="29" t="n">
        <f aca="false">ROUND(NORMSDIST($A22+I$4),4)</f>
        <v>0.9616</v>
      </c>
      <c r="J22" s="29" t="n">
        <f aca="false">ROUND(NORMSDIST($A22+J$4),4)</f>
        <v>0.9625</v>
      </c>
      <c r="K22" s="29" t="n">
        <f aca="false">ROUND(NORMSDIST($A22+K$4),4)</f>
        <v>0.9633</v>
      </c>
    </row>
    <row r="23" customFormat="false" ht="15" hidden="false" customHeight="false" outlineLevel="0" collapsed="false">
      <c r="A23" s="32" t="n">
        <v>1.8</v>
      </c>
      <c r="B23" s="29" t="n">
        <f aca="false">ROUND(NORMSDIST($A23+B$4),4)</f>
        <v>0.9641</v>
      </c>
      <c r="C23" s="29" t="n">
        <f aca="false">ROUND(NORMSDIST($A23+C$4),4)</f>
        <v>0.9649</v>
      </c>
      <c r="D23" s="29" t="n">
        <f aca="false">ROUND(NORMSDIST($A23+D$4),4)</f>
        <v>0.9656</v>
      </c>
      <c r="E23" s="29" t="n">
        <f aca="false">ROUND(NORMSDIST($A23+E$4),4)</f>
        <v>0.9664</v>
      </c>
      <c r="F23" s="29" t="n">
        <f aca="false">ROUND(NORMSDIST($A23+F$4),4)</f>
        <v>0.9671</v>
      </c>
      <c r="G23" s="29" t="n">
        <f aca="false">ROUND(NORMSDIST($A23+G$4),4)</f>
        <v>0.9678</v>
      </c>
      <c r="H23" s="29" t="n">
        <f aca="false">ROUND(NORMSDIST($A23+H$4),4)</f>
        <v>0.9686</v>
      </c>
      <c r="I23" s="29" t="n">
        <f aca="false">ROUND(NORMSDIST($A23+I$4),4)</f>
        <v>0.9693</v>
      </c>
      <c r="J23" s="29" t="n">
        <f aca="false">ROUND(NORMSDIST($A23+J$4),4)</f>
        <v>0.9699</v>
      </c>
      <c r="K23" s="29" t="n">
        <f aca="false">ROUND(NORMSDIST($A23+K$4),4)</f>
        <v>0.9706</v>
      </c>
    </row>
    <row r="24" customFormat="false" ht="15" hidden="false" customHeight="false" outlineLevel="0" collapsed="false">
      <c r="A24" s="32" t="n">
        <v>1.9</v>
      </c>
      <c r="B24" s="29" t="n">
        <f aca="false">ROUND(NORMSDIST($A24+B$4),4)</f>
        <v>0.9713</v>
      </c>
      <c r="C24" s="29" t="n">
        <f aca="false">ROUND(NORMSDIST($A24+C$4),4)</f>
        <v>0.9719</v>
      </c>
      <c r="D24" s="29" t="n">
        <f aca="false">ROUND(NORMSDIST($A24+D$4),4)</f>
        <v>0.9726</v>
      </c>
      <c r="E24" s="29" t="n">
        <f aca="false">ROUND(NORMSDIST($A24+E$4),4)</f>
        <v>0.9732</v>
      </c>
      <c r="F24" s="29" t="n">
        <f aca="false">ROUND(NORMSDIST($A24+F$4),4)</f>
        <v>0.9738</v>
      </c>
      <c r="G24" s="29" t="n">
        <f aca="false">ROUND(NORMSDIST($A24+G$4),4)</f>
        <v>0.9744</v>
      </c>
      <c r="H24" s="29" t="n">
        <f aca="false">ROUND(NORMSDIST($A24+H$4),4)</f>
        <v>0.975</v>
      </c>
      <c r="I24" s="29" t="n">
        <f aca="false">ROUND(NORMSDIST($A24+I$4),4)</f>
        <v>0.9756</v>
      </c>
      <c r="J24" s="29" t="n">
        <f aca="false">ROUND(NORMSDIST($A24+J$4),4)</f>
        <v>0.9761</v>
      </c>
      <c r="K24" s="29" t="n">
        <f aca="false">ROUND(NORMSDIST($A24+K$4),4)</f>
        <v>0.9767</v>
      </c>
    </row>
    <row r="25" customFormat="false" ht="15" hidden="false" customHeight="false" outlineLevel="0" collapsed="false">
      <c r="A25" s="32" t="n">
        <v>2</v>
      </c>
      <c r="B25" s="29" t="n">
        <f aca="false">ROUND(NORMSDIST($A25+B$4),4)</f>
        <v>0.9772</v>
      </c>
      <c r="C25" s="29" t="n">
        <f aca="false">ROUND(NORMSDIST($A25+C$4),4)</f>
        <v>0.9778</v>
      </c>
      <c r="D25" s="29" t="n">
        <f aca="false">ROUND(NORMSDIST($A25+D$4),4)</f>
        <v>0.9783</v>
      </c>
      <c r="E25" s="29" t="n">
        <f aca="false">ROUND(NORMSDIST($A25+E$4),4)</f>
        <v>0.9788</v>
      </c>
      <c r="F25" s="29" t="n">
        <f aca="false">ROUND(NORMSDIST($A25+F$4),4)</f>
        <v>0.9793</v>
      </c>
      <c r="G25" s="29" t="n">
        <f aca="false">ROUND(NORMSDIST($A25+G$4),4)</f>
        <v>0.9798</v>
      </c>
      <c r="H25" s="29" t="n">
        <f aca="false">ROUND(NORMSDIST($A25+H$4),4)</f>
        <v>0.9803</v>
      </c>
      <c r="I25" s="29" t="n">
        <f aca="false">ROUND(NORMSDIST($A25+I$4),4)</f>
        <v>0.9808</v>
      </c>
      <c r="J25" s="29" t="n">
        <f aca="false">ROUND(NORMSDIST($A25+J$4),4)</f>
        <v>0.9812</v>
      </c>
      <c r="K25" s="29" t="n">
        <f aca="false">ROUND(NORMSDIST($A25+K$4),4)</f>
        <v>0.9817</v>
      </c>
    </row>
    <row r="26" customFormat="false" ht="15" hidden="false" customHeight="false" outlineLevel="0" collapsed="false">
      <c r="A26" s="32" t="n">
        <v>2.1</v>
      </c>
      <c r="B26" s="29" t="n">
        <f aca="false">ROUND(NORMSDIST($A26+B$4),4)</f>
        <v>0.9821</v>
      </c>
      <c r="C26" s="29" t="n">
        <f aca="false">ROUND(NORMSDIST($A26+C$4),4)</f>
        <v>0.9826</v>
      </c>
      <c r="D26" s="29" t="n">
        <f aca="false">ROUND(NORMSDIST($A26+D$4),4)</f>
        <v>0.983</v>
      </c>
      <c r="E26" s="29" t="n">
        <f aca="false">ROUND(NORMSDIST($A26+E$4),4)</f>
        <v>0.9834</v>
      </c>
      <c r="F26" s="29" t="n">
        <f aca="false">ROUND(NORMSDIST($A26+F$4),4)</f>
        <v>0.9838</v>
      </c>
      <c r="G26" s="29" t="n">
        <f aca="false">ROUND(NORMSDIST($A26+G$4),4)</f>
        <v>0.9842</v>
      </c>
      <c r="H26" s="29" t="n">
        <f aca="false">ROUND(NORMSDIST($A26+H$4),4)</f>
        <v>0.9846</v>
      </c>
      <c r="I26" s="29" t="n">
        <f aca="false">ROUND(NORMSDIST($A26+I$4),4)</f>
        <v>0.985</v>
      </c>
      <c r="J26" s="29" t="n">
        <f aca="false">ROUND(NORMSDIST($A26+J$4),4)</f>
        <v>0.9854</v>
      </c>
      <c r="K26" s="29" t="n">
        <f aca="false">ROUND(NORMSDIST($A26+K$4),4)</f>
        <v>0.9857</v>
      </c>
    </row>
    <row r="27" customFormat="false" ht="15" hidden="false" customHeight="false" outlineLevel="0" collapsed="false">
      <c r="A27" s="32" t="n">
        <v>2.2</v>
      </c>
      <c r="B27" s="29" t="n">
        <f aca="false">ROUND(NORMSDIST($A27+B$4),4)</f>
        <v>0.9861</v>
      </c>
      <c r="C27" s="29" t="n">
        <f aca="false">ROUND(NORMSDIST($A27+C$4),4)</f>
        <v>0.9864</v>
      </c>
      <c r="D27" s="29" t="n">
        <f aca="false">ROUND(NORMSDIST($A27+D$4),4)</f>
        <v>0.9868</v>
      </c>
      <c r="E27" s="29" t="n">
        <f aca="false">ROUND(NORMSDIST($A27+E$4),4)</f>
        <v>0.9871</v>
      </c>
      <c r="F27" s="29" t="n">
        <f aca="false">ROUND(NORMSDIST($A27+F$4),4)</f>
        <v>0.9875</v>
      </c>
      <c r="G27" s="29" t="n">
        <f aca="false">ROUND(NORMSDIST($A27+G$4),4)</f>
        <v>0.9878</v>
      </c>
      <c r="H27" s="29" t="n">
        <f aca="false">ROUND(NORMSDIST($A27+H$4),4)</f>
        <v>0.9881</v>
      </c>
      <c r="I27" s="29" t="n">
        <f aca="false">ROUND(NORMSDIST($A27+I$4),4)</f>
        <v>0.9884</v>
      </c>
      <c r="J27" s="29" t="n">
        <f aca="false">ROUND(NORMSDIST($A27+J$4),4)</f>
        <v>0.9887</v>
      </c>
      <c r="K27" s="29" t="n">
        <f aca="false">ROUND(NORMSDIST($A27+K$4),4)</f>
        <v>0.989</v>
      </c>
    </row>
    <row r="28" customFormat="false" ht="15" hidden="false" customHeight="false" outlineLevel="0" collapsed="false">
      <c r="A28" s="32" t="n">
        <v>2.3</v>
      </c>
      <c r="B28" s="29" t="n">
        <f aca="false">ROUND(NORMSDIST($A28+B$4),4)</f>
        <v>0.9893</v>
      </c>
      <c r="C28" s="29" t="n">
        <f aca="false">ROUND(NORMSDIST($A28+C$4),4)</f>
        <v>0.9896</v>
      </c>
      <c r="D28" s="29" t="n">
        <f aca="false">ROUND(NORMSDIST($A28+D$4),4)</f>
        <v>0.9898</v>
      </c>
      <c r="E28" s="29" t="n">
        <f aca="false">ROUND(NORMSDIST($A28+E$4),4)</f>
        <v>0.9901</v>
      </c>
      <c r="F28" s="29" t="n">
        <f aca="false">ROUND(NORMSDIST($A28+F$4),4)</f>
        <v>0.9904</v>
      </c>
      <c r="G28" s="29" t="n">
        <f aca="false">ROUND(NORMSDIST($A28+G$4),4)</f>
        <v>0.9906</v>
      </c>
      <c r="H28" s="29" t="n">
        <f aca="false">ROUND(NORMSDIST($A28+H$4),4)</f>
        <v>0.9909</v>
      </c>
      <c r="I28" s="29" t="n">
        <f aca="false">ROUND(NORMSDIST($A28+I$4),4)</f>
        <v>0.9911</v>
      </c>
      <c r="J28" s="29" t="n">
        <f aca="false">ROUND(NORMSDIST($A28+J$4),4)</f>
        <v>0.9913</v>
      </c>
      <c r="K28" s="29" t="n">
        <f aca="false">ROUND(NORMSDIST($A28+K$4),4)</f>
        <v>0.9916</v>
      </c>
    </row>
    <row r="29" customFormat="false" ht="15" hidden="false" customHeight="false" outlineLevel="0" collapsed="false">
      <c r="A29" s="32" t="n">
        <v>2.4</v>
      </c>
      <c r="B29" s="29" t="n">
        <f aca="false">ROUND(NORMSDIST($A29+B$4),4)</f>
        <v>0.9918</v>
      </c>
      <c r="C29" s="29" t="n">
        <f aca="false">ROUND(NORMSDIST($A29+C$4),4)</f>
        <v>0.992</v>
      </c>
      <c r="D29" s="29" t="n">
        <f aca="false">ROUND(NORMSDIST($A29+D$4),4)</f>
        <v>0.9922</v>
      </c>
      <c r="E29" s="29" t="n">
        <f aca="false">ROUND(NORMSDIST($A29+E$4),4)</f>
        <v>0.9925</v>
      </c>
      <c r="F29" s="29" t="n">
        <f aca="false">ROUND(NORMSDIST($A29+F$4),4)</f>
        <v>0.9927</v>
      </c>
      <c r="G29" s="29" t="n">
        <f aca="false">ROUND(NORMSDIST($A29+G$4),4)</f>
        <v>0.9929</v>
      </c>
      <c r="H29" s="29" t="n">
        <f aca="false">ROUND(NORMSDIST($A29+H$4),4)</f>
        <v>0.9931</v>
      </c>
      <c r="I29" s="29" t="n">
        <f aca="false">ROUND(NORMSDIST($A29+I$4),4)</f>
        <v>0.9932</v>
      </c>
      <c r="J29" s="29" t="n">
        <f aca="false">ROUND(NORMSDIST($A29+J$4),4)</f>
        <v>0.9934</v>
      </c>
      <c r="K29" s="29" t="n">
        <f aca="false">ROUND(NORMSDIST($A29+K$4),4)</f>
        <v>0.9936</v>
      </c>
    </row>
    <row r="30" customFormat="false" ht="15" hidden="false" customHeight="false" outlineLevel="0" collapsed="false">
      <c r="A30" s="32" t="n">
        <v>2.5</v>
      </c>
      <c r="B30" s="29" t="n">
        <f aca="false">ROUND(NORMSDIST($A30+B$4),4)</f>
        <v>0.9938</v>
      </c>
      <c r="C30" s="29" t="n">
        <f aca="false">ROUND(NORMSDIST($A30+C$4),4)</f>
        <v>0.994</v>
      </c>
      <c r="D30" s="29" t="n">
        <f aca="false">ROUND(NORMSDIST($A30+D$4),4)</f>
        <v>0.9941</v>
      </c>
      <c r="E30" s="29" t="n">
        <f aca="false">ROUND(NORMSDIST($A30+E$4),4)</f>
        <v>0.9943</v>
      </c>
      <c r="F30" s="29" t="n">
        <f aca="false">ROUND(NORMSDIST($A30+F$4),4)</f>
        <v>0.9945</v>
      </c>
      <c r="G30" s="29" t="n">
        <f aca="false">ROUND(NORMSDIST($A30+G$4),4)</f>
        <v>0.9946</v>
      </c>
      <c r="H30" s="29" t="n">
        <f aca="false">ROUND(NORMSDIST($A30+H$4),4)</f>
        <v>0.9948</v>
      </c>
      <c r="I30" s="29" t="n">
        <f aca="false">ROUND(NORMSDIST($A30+I$4),4)</f>
        <v>0.9949</v>
      </c>
      <c r="J30" s="29" t="n">
        <f aca="false">ROUND(NORMSDIST($A30+J$4),4)</f>
        <v>0.9951</v>
      </c>
      <c r="K30" s="29" t="n">
        <f aca="false">ROUND(NORMSDIST($A30+K$4),4)</f>
        <v>0.9952</v>
      </c>
    </row>
    <row r="31" customFormat="false" ht="15" hidden="false" customHeight="false" outlineLevel="0" collapsed="false">
      <c r="A31" s="32" t="n">
        <v>2.6</v>
      </c>
      <c r="B31" s="29" t="n">
        <f aca="false">ROUND(NORMSDIST($A31+B$4),4)</f>
        <v>0.9953</v>
      </c>
      <c r="C31" s="29" t="n">
        <f aca="false">ROUND(NORMSDIST($A31+C$4),4)</f>
        <v>0.9955</v>
      </c>
      <c r="D31" s="29" t="n">
        <f aca="false">ROUND(NORMSDIST($A31+D$4),4)</f>
        <v>0.9956</v>
      </c>
      <c r="E31" s="29" t="n">
        <f aca="false">ROUND(NORMSDIST($A31+E$4),4)</f>
        <v>0.9957</v>
      </c>
      <c r="F31" s="29" t="n">
        <f aca="false">ROUND(NORMSDIST($A31+F$4),4)</f>
        <v>0.9959</v>
      </c>
      <c r="G31" s="29" t="n">
        <f aca="false">ROUND(NORMSDIST($A31+G$4),4)</f>
        <v>0.996</v>
      </c>
      <c r="H31" s="29" t="n">
        <f aca="false">ROUND(NORMSDIST($A31+H$4),4)</f>
        <v>0.9961</v>
      </c>
      <c r="I31" s="29" t="n">
        <f aca="false">ROUND(NORMSDIST($A31+I$4),4)</f>
        <v>0.9962</v>
      </c>
      <c r="J31" s="29" t="n">
        <f aca="false">ROUND(NORMSDIST($A31+J$4),4)</f>
        <v>0.9963</v>
      </c>
      <c r="K31" s="29" t="n">
        <f aca="false">ROUND(NORMSDIST($A31+K$4),4)</f>
        <v>0.9964</v>
      </c>
    </row>
    <row r="32" customFormat="false" ht="15" hidden="false" customHeight="false" outlineLevel="0" collapsed="false">
      <c r="A32" s="32" t="n">
        <v>2.7</v>
      </c>
      <c r="B32" s="29" t="n">
        <f aca="false">ROUND(NORMSDIST($A32+B$4),4)</f>
        <v>0.9965</v>
      </c>
      <c r="C32" s="29" t="n">
        <f aca="false">ROUND(NORMSDIST($A32+C$4),4)</f>
        <v>0.9966</v>
      </c>
      <c r="D32" s="29" t="n">
        <f aca="false">ROUND(NORMSDIST($A32+D$4),4)</f>
        <v>0.9967</v>
      </c>
      <c r="E32" s="29" t="n">
        <f aca="false">ROUND(NORMSDIST($A32+E$4),4)</f>
        <v>0.9968</v>
      </c>
      <c r="F32" s="29" t="n">
        <f aca="false">ROUND(NORMSDIST($A32+F$4),4)</f>
        <v>0.9969</v>
      </c>
      <c r="G32" s="29" t="n">
        <f aca="false">ROUND(NORMSDIST($A32+G$4),4)</f>
        <v>0.997</v>
      </c>
      <c r="H32" s="29" t="n">
        <f aca="false">ROUND(NORMSDIST($A32+H$4),4)</f>
        <v>0.9971</v>
      </c>
      <c r="I32" s="29" t="n">
        <f aca="false">ROUND(NORMSDIST($A32+I$4),4)</f>
        <v>0.9972</v>
      </c>
      <c r="J32" s="29" t="n">
        <f aca="false">ROUND(NORMSDIST($A32+J$4),4)</f>
        <v>0.9973</v>
      </c>
      <c r="K32" s="29" t="n">
        <f aca="false">ROUND(NORMSDIST($A32+K$4),4)</f>
        <v>0.9974</v>
      </c>
    </row>
    <row r="33" customFormat="false" ht="15" hidden="false" customHeight="false" outlineLevel="0" collapsed="false">
      <c r="A33" s="32" t="n">
        <v>2.8</v>
      </c>
      <c r="B33" s="29" t="n">
        <f aca="false">ROUND(NORMSDIST($A33+B$4),4)</f>
        <v>0.9974</v>
      </c>
      <c r="C33" s="29" t="n">
        <f aca="false">ROUND(NORMSDIST($A33+C$4),4)</f>
        <v>0.9975</v>
      </c>
      <c r="D33" s="29" t="n">
        <f aca="false">ROUND(NORMSDIST($A33+D$4),4)</f>
        <v>0.9976</v>
      </c>
      <c r="E33" s="29" t="n">
        <f aca="false">ROUND(NORMSDIST($A33+E$4),4)</f>
        <v>0.9977</v>
      </c>
      <c r="F33" s="29" t="n">
        <f aca="false">ROUND(NORMSDIST($A33+F$4),4)</f>
        <v>0.9977</v>
      </c>
      <c r="G33" s="29" t="n">
        <f aca="false">ROUND(NORMSDIST($A33+G$4),4)</f>
        <v>0.9978</v>
      </c>
      <c r="H33" s="29" t="n">
        <f aca="false">ROUND(NORMSDIST($A33+H$4),4)</f>
        <v>0.9979</v>
      </c>
      <c r="I33" s="29" t="n">
        <f aca="false">ROUND(NORMSDIST($A33+I$4),4)</f>
        <v>0.9979</v>
      </c>
      <c r="J33" s="29" t="n">
        <f aca="false">ROUND(NORMSDIST($A33+J$4),4)</f>
        <v>0.998</v>
      </c>
      <c r="K33" s="29" t="n">
        <f aca="false">ROUND(NORMSDIST($A33+K$4),4)</f>
        <v>0.9981</v>
      </c>
    </row>
    <row r="34" customFormat="false" ht="15" hidden="false" customHeight="false" outlineLevel="0" collapsed="false">
      <c r="A34" s="32" t="n">
        <v>2.9</v>
      </c>
      <c r="B34" s="29" t="n">
        <f aca="false">ROUND(NORMSDIST($A34+B$4),4)</f>
        <v>0.9981</v>
      </c>
      <c r="C34" s="29" t="n">
        <f aca="false">ROUND(NORMSDIST($A34+C$4),4)</f>
        <v>0.9982</v>
      </c>
      <c r="D34" s="29" t="n">
        <f aca="false">ROUND(NORMSDIST($A34+D$4),4)</f>
        <v>0.9982</v>
      </c>
      <c r="E34" s="29" t="n">
        <f aca="false">ROUND(NORMSDIST($A34+E$4),4)</f>
        <v>0.9983</v>
      </c>
      <c r="F34" s="29" t="n">
        <f aca="false">ROUND(NORMSDIST($A34+F$4),4)</f>
        <v>0.9984</v>
      </c>
      <c r="G34" s="29" t="n">
        <f aca="false">ROUND(NORMSDIST($A34+G$4),4)</f>
        <v>0.9984</v>
      </c>
      <c r="H34" s="29" t="n">
        <f aca="false">ROUND(NORMSDIST($A34+H$4),4)</f>
        <v>0.9985</v>
      </c>
      <c r="I34" s="29" t="n">
        <f aca="false">ROUND(NORMSDIST($A34+I$4),4)</f>
        <v>0.9985</v>
      </c>
      <c r="J34" s="29" t="n">
        <f aca="false">ROUND(NORMSDIST($A34+J$4),4)</f>
        <v>0.9986</v>
      </c>
      <c r="K34" s="29" t="n">
        <f aca="false">ROUND(NORMSDIST($A34+K$4),4)</f>
        <v>0.9986</v>
      </c>
    </row>
    <row r="35" customFormat="false" ht="15" hidden="false" customHeight="false" outlineLevel="0" collapsed="false">
      <c r="A35" s="32" t="n">
        <v>3</v>
      </c>
      <c r="B35" s="29" t="n">
        <f aca="false">ROUND(NORMSDIST($A35+B$4),4)</f>
        <v>0.9987</v>
      </c>
      <c r="C35" s="29" t="n">
        <f aca="false">ROUND(NORMSDIST($A35+C$4),4)</f>
        <v>0.9987</v>
      </c>
      <c r="D35" s="29" t="n">
        <f aca="false">ROUND(NORMSDIST($A35+D$4),4)</f>
        <v>0.9987</v>
      </c>
      <c r="E35" s="29" t="n">
        <f aca="false">ROUND(NORMSDIST($A35+E$4),4)</f>
        <v>0.9988</v>
      </c>
      <c r="F35" s="29" t="n">
        <f aca="false">ROUND(NORMSDIST($A35+F$4),4)</f>
        <v>0.9988</v>
      </c>
      <c r="G35" s="29" t="n">
        <f aca="false">ROUND(NORMSDIST($A35+G$4),4)</f>
        <v>0.9989</v>
      </c>
      <c r="H35" s="29" t="n">
        <f aca="false">ROUND(NORMSDIST($A35+H$4),4)</f>
        <v>0.9989</v>
      </c>
      <c r="I35" s="29" t="n">
        <f aca="false">ROUND(NORMSDIST($A35+I$4),4)</f>
        <v>0.9989</v>
      </c>
      <c r="J35" s="29" t="n">
        <f aca="false">ROUND(NORMSDIST($A35+J$4),4)</f>
        <v>0.999</v>
      </c>
      <c r="K35" s="29" t="n">
        <f aca="false">ROUND(NORMSDIST($A35+K$4),4)</f>
        <v>0.999</v>
      </c>
    </row>
    <row r="36" customFormat="false" ht="15" hidden="false" customHeight="false" outlineLevel="0" collapsed="false">
      <c r="A36" s="32" t="n">
        <v>3.1</v>
      </c>
      <c r="B36" s="29" t="n">
        <f aca="false">ROUND(NORMSDIST($A36+B$4),4)</f>
        <v>0.999</v>
      </c>
      <c r="C36" s="29" t="n">
        <f aca="false">ROUND(NORMSDIST($A36+C$4),4)</f>
        <v>0.9991</v>
      </c>
      <c r="D36" s="29" t="n">
        <f aca="false">ROUND(NORMSDIST($A36+D$4),4)</f>
        <v>0.9991</v>
      </c>
      <c r="E36" s="29" t="n">
        <f aca="false">ROUND(NORMSDIST($A36+E$4),4)</f>
        <v>0.9991</v>
      </c>
      <c r="F36" s="29" t="n">
        <f aca="false">ROUND(NORMSDIST($A36+F$4),4)</f>
        <v>0.9992</v>
      </c>
      <c r="G36" s="29" t="n">
        <f aca="false">ROUND(NORMSDIST($A36+G$4),4)</f>
        <v>0.9992</v>
      </c>
      <c r="H36" s="29" t="n">
        <f aca="false">ROUND(NORMSDIST($A36+H$4),4)</f>
        <v>0.9992</v>
      </c>
      <c r="I36" s="29" t="n">
        <f aca="false">ROUND(NORMSDIST($A36+I$4),4)</f>
        <v>0.9992</v>
      </c>
      <c r="J36" s="29" t="n">
        <f aca="false">ROUND(NORMSDIST($A36+J$4),4)</f>
        <v>0.9993</v>
      </c>
      <c r="K36" s="29" t="n">
        <f aca="false">ROUND(NORMSDIST($A36+K$4),4)</f>
        <v>0.9993</v>
      </c>
    </row>
    <row r="37" customFormat="false" ht="15" hidden="false" customHeight="false" outlineLevel="0" collapsed="false">
      <c r="A37" s="32" t="n">
        <v>3.2</v>
      </c>
      <c r="B37" s="29" t="n">
        <f aca="false">ROUND(NORMSDIST($A37+B$4),4)</f>
        <v>0.9993</v>
      </c>
      <c r="C37" s="29" t="n">
        <f aca="false">ROUND(NORMSDIST($A37+C$4),4)</f>
        <v>0.9993</v>
      </c>
      <c r="D37" s="29" t="n">
        <f aca="false">ROUND(NORMSDIST($A37+D$4),4)</f>
        <v>0.9994</v>
      </c>
      <c r="E37" s="29" t="n">
        <f aca="false">ROUND(NORMSDIST($A37+E$4),4)</f>
        <v>0.9994</v>
      </c>
      <c r="F37" s="29" t="n">
        <f aca="false">ROUND(NORMSDIST($A37+F$4),4)</f>
        <v>0.9994</v>
      </c>
      <c r="G37" s="29" t="n">
        <f aca="false">ROUND(NORMSDIST($A37+G$4),4)</f>
        <v>0.9994</v>
      </c>
      <c r="H37" s="29" t="n">
        <f aca="false">ROUND(NORMSDIST($A37+H$4),4)</f>
        <v>0.9994</v>
      </c>
      <c r="I37" s="29" t="n">
        <f aca="false">ROUND(NORMSDIST($A37+I$4),4)</f>
        <v>0.9995</v>
      </c>
      <c r="J37" s="29" t="n">
        <f aca="false">ROUND(NORMSDIST($A37+J$4),4)</f>
        <v>0.9995</v>
      </c>
      <c r="K37" s="29" t="n">
        <f aca="false">ROUND(NORMSDIST($A37+K$4),4)</f>
        <v>0.9995</v>
      </c>
    </row>
    <row r="38" customFormat="false" ht="15" hidden="false" customHeight="false" outlineLevel="0" collapsed="false">
      <c r="A38" s="32" t="n">
        <v>3.3</v>
      </c>
      <c r="B38" s="29" t="n">
        <f aca="false">ROUND(NORMSDIST($A38+B$4),4)</f>
        <v>0.9995</v>
      </c>
      <c r="C38" s="29" t="n">
        <f aca="false">ROUND(NORMSDIST($A38+C$4),4)</f>
        <v>0.9995</v>
      </c>
      <c r="D38" s="29" t="n">
        <f aca="false">ROUND(NORMSDIST($A38+D$4),4)</f>
        <v>0.9995</v>
      </c>
      <c r="E38" s="29" t="n">
        <f aca="false">ROUND(NORMSDIST($A38+E$4),4)</f>
        <v>0.9996</v>
      </c>
      <c r="F38" s="29" t="n">
        <f aca="false">ROUND(NORMSDIST($A38+F$4),4)</f>
        <v>0.9996</v>
      </c>
      <c r="G38" s="29" t="n">
        <f aca="false">ROUND(NORMSDIST($A38+G$4),4)</f>
        <v>0.9996</v>
      </c>
      <c r="H38" s="29" t="n">
        <f aca="false">ROUND(NORMSDIST($A38+H$4),4)</f>
        <v>0.9996</v>
      </c>
      <c r="I38" s="29" t="n">
        <f aca="false">ROUND(NORMSDIST($A38+I$4),4)</f>
        <v>0.9996</v>
      </c>
      <c r="J38" s="29" t="n">
        <f aca="false">ROUND(NORMSDIST($A38+J$4),4)</f>
        <v>0.9996</v>
      </c>
      <c r="K38" s="29" t="n">
        <f aca="false">ROUND(NORMSDIST($A38+K$4),4)</f>
        <v>0.9997</v>
      </c>
    </row>
    <row r="39" customFormat="false" ht="15" hidden="false" customHeight="false" outlineLevel="0" collapsed="false">
      <c r="A39" s="32" t="n">
        <v>3.4</v>
      </c>
      <c r="B39" s="29" t="n">
        <f aca="false">ROUND(NORMSDIST($A39+B$4),4)</f>
        <v>0.9997</v>
      </c>
      <c r="C39" s="29" t="n">
        <f aca="false">ROUND(NORMSDIST($A39+C$4),4)</f>
        <v>0.9997</v>
      </c>
      <c r="D39" s="29" t="n">
        <f aca="false">ROUND(NORMSDIST($A39+D$4),4)</f>
        <v>0.9997</v>
      </c>
      <c r="E39" s="29" t="n">
        <f aca="false">ROUND(NORMSDIST($A39+E$4),4)</f>
        <v>0.9997</v>
      </c>
      <c r="F39" s="29" t="n">
        <f aca="false">ROUND(NORMSDIST($A39+F$4),4)</f>
        <v>0.9997</v>
      </c>
      <c r="G39" s="29" t="n">
        <f aca="false">ROUND(NORMSDIST($A39+G$4),4)</f>
        <v>0.9997</v>
      </c>
      <c r="H39" s="29" t="n">
        <f aca="false">ROUND(NORMSDIST($A39+H$4),4)</f>
        <v>0.9997</v>
      </c>
      <c r="I39" s="29" t="n">
        <f aca="false">ROUND(NORMSDIST($A39+I$4),4)</f>
        <v>0.9997</v>
      </c>
      <c r="J39" s="29" t="n">
        <f aca="false">ROUND(NORMSDIST($A39+J$4),4)</f>
        <v>0.9997</v>
      </c>
      <c r="K39" s="29" t="n">
        <f aca="false">ROUND(NORMSDIST($A39+K$4),4)</f>
        <v>0.9998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7" min="7" style="0" width="36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15" hidden="false" customHeight="false" outlineLevel="0" collapsed="false">
      <c r="A4" s="3" t="s">
        <v>156</v>
      </c>
      <c r="B4" s="3" t="s">
        <v>157</v>
      </c>
      <c r="C4" s="3" t="s">
        <v>158</v>
      </c>
      <c r="D4" s="3" t="s">
        <v>159</v>
      </c>
      <c r="E4" s="3" t="s">
        <v>160</v>
      </c>
      <c r="F4" s="3" t="s">
        <v>161</v>
      </c>
      <c r="G4" s="3" t="s">
        <v>162</v>
      </c>
    </row>
    <row r="5" customFormat="false" ht="15" hidden="false" customHeight="false" outlineLevel="0" collapsed="false">
      <c r="A5" s="17" t="n">
        <v>0.01</v>
      </c>
      <c r="B5" s="30" t="n">
        <f aca="false">Parámetros!$B$5*A5</f>
        <v>2</v>
      </c>
      <c r="C5" s="30" t="n">
        <f aca="false">SQRT(Parámetros!$B$5*A5*(1-A5))</f>
        <v>1.40712472794703</v>
      </c>
      <c r="D5" s="25" t="n">
        <f aca="false">BINOMDIST(Parámetros!$B$12,Parámetros!$B$5,A5,TRUE())</f>
        <v>0.858034034444743</v>
      </c>
      <c r="E5" s="25" t="n">
        <f aca="false">1-BINOMDIST(Parámetros!$B$11-1,Parámetros!$B$5,A5,TRUE())</f>
        <v>0.0160229069091793</v>
      </c>
      <c r="F5" s="25" t="n">
        <f aca="false">1-BINOMDIST(9,Parámetros!$B$5,A5,TRUE())</f>
        <v>4.01418088488148E-005</v>
      </c>
      <c r="G5" s="33" t="n">
        <f aca="false">B5/$B$7</f>
        <v>0.333333333333333</v>
      </c>
    </row>
    <row r="6" customFormat="false" ht="15" hidden="false" customHeight="false" outlineLevel="0" collapsed="false">
      <c r="A6" s="17" t="n">
        <v>0.02</v>
      </c>
      <c r="B6" s="30" t="n">
        <f aca="false">Parámetros!$B$5*A6</f>
        <v>4</v>
      </c>
      <c r="C6" s="30" t="n">
        <f aca="false">SQRT(Parámetros!$B$5*A6*(1-A6))</f>
        <v>1.97989898732233</v>
      </c>
      <c r="D6" s="25" t="n">
        <f aca="false">BINOMDIST(Parámetros!$B$12,Parámetros!$B$5,A6,TRUE())</f>
        <v>0.431494973161503</v>
      </c>
      <c r="E6" s="25" t="n">
        <f aca="false">1-BINOMDIST(Parámetros!$B$11-1,Parámetros!$B$5,A6,TRUE())</f>
        <v>0.213277534297336</v>
      </c>
      <c r="F6" s="25" t="n">
        <f aca="false">1-BINOMDIST(9,Parámetros!$B$5,A6,TRUE())</f>
        <v>0.007479287865365</v>
      </c>
      <c r="G6" s="33" t="n">
        <f aca="false">B6/$B$7</f>
        <v>0.666666666666667</v>
      </c>
    </row>
    <row r="7" customFormat="false" ht="15" hidden="false" customHeight="false" outlineLevel="0" collapsed="false">
      <c r="A7" s="17" t="n">
        <v>0.03</v>
      </c>
      <c r="B7" s="30" t="n">
        <f aca="false">Parámetros!$B$5*A7</f>
        <v>6</v>
      </c>
      <c r="C7" s="30" t="n">
        <f aca="false">SQRT(Parámetros!$B$5*A7*(1-A7))</f>
        <v>2.41246761636296</v>
      </c>
      <c r="D7" s="25" t="n">
        <f aca="false">BINOMDIST(Parámetros!$B$12,Parámetros!$B$5,A7,TRUE())</f>
        <v>0.147151194082401</v>
      </c>
      <c r="E7" s="25" t="n">
        <f aca="false">1-BINOMDIST(Parámetros!$B$11-1,Parámetros!$B$5,A7,TRUE())</f>
        <v>0.556770787671594</v>
      </c>
      <c r="F7" s="25" t="n">
        <f aca="false">1-BINOMDIST(9,Parámetros!$B$5,A7,TRUE())</f>
        <v>0.0807793591276121</v>
      </c>
      <c r="G7" s="33" t="n">
        <f aca="false">B7/$B$7</f>
        <v>1</v>
      </c>
    </row>
    <row r="8" customFormat="false" ht="15" hidden="false" customHeight="false" outlineLevel="0" collapsed="false">
      <c r="A8" s="17" t="n">
        <v>0.04</v>
      </c>
      <c r="B8" s="30" t="n">
        <f aca="false">Parámetros!$B$5*A8</f>
        <v>8</v>
      </c>
      <c r="C8" s="30" t="n">
        <f aca="false">SQRT(Parámetros!$B$5*A8*(1-A8))</f>
        <v>2.7712812921102</v>
      </c>
      <c r="D8" s="25" t="n">
        <f aca="false">BINOMDIST(Parámetros!$B$12,Parámetros!$B$5,A8,TRUE())</f>
        <v>0.0395293378979883</v>
      </c>
      <c r="E8" s="25" t="n">
        <f aca="false">1-BINOMDIST(Parámetros!$B$11-1,Parámetros!$B$5,A8,TRUE())</f>
        <v>0.814350305163408</v>
      </c>
      <c r="F8" s="25" t="n">
        <f aca="false">1-BINOMDIST(9,Parámetros!$B$5,A8,TRUE())</f>
        <v>0.280799998664126</v>
      </c>
      <c r="G8" s="33" t="n">
        <f aca="false">B8/$B$7</f>
        <v>1.33333333333333</v>
      </c>
    </row>
    <row r="9" customFormat="false" ht="15" hidden="false" customHeight="false" outlineLevel="0" collapsed="false">
      <c r="A9" s="17" t="n">
        <v>0.05</v>
      </c>
      <c r="B9" s="30" t="n">
        <f aca="false">Parámetros!$B$5*A9</f>
        <v>10</v>
      </c>
      <c r="C9" s="30" t="n">
        <f aca="false">SQRT(Parámetros!$B$5*A9*(1-A9))</f>
        <v>3.08220700148449</v>
      </c>
      <c r="D9" s="25" t="n">
        <f aca="false">BINOMDIST(Parámetros!$B$12,Parámetros!$B$5,A9,TRUE())</f>
        <v>0.00904837639610146</v>
      </c>
      <c r="E9" s="25" t="n">
        <f aca="false">1-BINOMDIST(Parámetros!$B$11-1,Parámetros!$B$5,A9,TRUE())</f>
        <v>0.937657504957705</v>
      </c>
      <c r="F9" s="25" t="n">
        <f aca="false">1-BINOMDIST(9,Parámetros!$B$5,A9,TRUE())</f>
        <v>0.545290191319185</v>
      </c>
      <c r="G9" s="33" t="n">
        <f aca="false">B9/$B$7</f>
        <v>1.66666666666667</v>
      </c>
    </row>
    <row r="11" customFormat="false" ht="15" hidden="false" customHeight="false" outlineLevel="0" collapsed="false">
      <c r="A11" s="2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2026-10-12T00:43:59Z</dcterms:created>
  <dc:creator>openpyxl</dc:creator>
  <dc:description/>
  <dc:language>en-US</dc:language>
  <cp:lastModifiedBy/>
  <dcterms:modified xsi:type="dcterms:W3CDTF">2026-10-12T00:44:02Z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